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0" documentId="8_{98E971A0-96D5-4DF9-A7A1-F3B05466038C}" xr6:coauthVersionLast="47" xr6:coauthVersionMax="47" xr10:uidLastSave="{00000000-0000-0000-0000-000000000000}"/>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schedule'!$P$2</definedName>
    <definedName name="Project_Start">'Project schedule'!$P$1</definedName>
    <definedName name="task_end" localSheetId="0">'Project schedule'!$E1</definedName>
    <definedName name="task_progress" localSheetId="0">'Project schedule'!#REF!</definedName>
    <definedName name="task_start" localSheetId="0">'Project schedule'!$D1</definedName>
    <definedName name="_xlnm.Print_Titles" localSheetId="0">'Project schedule'!$4:$6</definedName>
    <definedName name="today" localSheetId="0">TODAY()</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1" l="1"/>
  <c r="D11" i="11"/>
  <c r="D12" i="11"/>
  <c r="D13" i="11"/>
  <c r="D14" i="11"/>
  <c r="G7" i="11"/>
  <c r="D9" i="11" l="1"/>
  <c r="H5" i="11" l="1"/>
  <c r="G31" i="11"/>
  <c r="G30" i="11"/>
  <c r="G26" i="11"/>
  <c r="G20" i="11"/>
  <c r="G15" i="11"/>
  <c r="G8" i="11"/>
  <c r="G21" i="11" l="1"/>
  <c r="G22" i="11"/>
  <c r="G9" i="11"/>
  <c r="H6" i="11"/>
  <c r="G28" i="11" l="1"/>
  <c r="G27" i="11"/>
  <c r="G25" i="11"/>
  <c r="G10" i="11"/>
  <c r="G23" i="11"/>
  <c r="G16" i="11"/>
  <c r="G13" i="11"/>
  <c r="I5" i="11"/>
  <c r="J5" i="11" s="1"/>
  <c r="K5" i="11" s="1"/>
  <c r="L5" i="11" s="1"/>
  <c r="M5" i="11" s="1"/>
  <c r="N5" i="11" s="1"/>
  <c r="O5" i="11" s="1"/>
  <c r="H4" i="11"/>
  <c r="G29" i="11" l="1"/>
  <c r="G24" i="11"/>
  <c r="G17" i="11"/>
  <c r="G11" i="11"/>
  <c r="G12" i="11"/>
  <c r="O4" i="11"/>
  <c r="P5" i="11"/>
  <c r="Q5" i="11" s="1"/>
  <c r="R5" i="11" s="1"/>
  <c r="S5" i="11" s="1"/>
  <c r="T5" i="11" s="1"/>
  <c r="U5" i="11" s="1"/>
  <c r="V5" i="11" s="1"/>
  <c r="I6" i="11"/>
  <c r="G19" i="11" l="1"/>
  <c r="G18" i="11"/>
  <c r="V4" i="11"/>
  <c r="W5" i="11"/>
  <c r="X5" i="11" s="1"/>
  <c r="Y5" i="11" s="1"/>
  <c r="Z5" i="11" s="1"/>
  <c r="AA5" i="11" s="1"/>
  <c r="AB5" i="11" s="1"/>
  <c r="AC5" i="11" s="1"/>
  <c r="J6" i="11"/>
  <c r="AD5" i="11" l="1"/>
  <c r="AE5" i="11" s="1"/>
  <c r="AF5" i="11" s="1"/>
  <c r="AG5" i="11" s="1"/>
  <c r="AH5" i="11" s="1"/>
  <c r="AI5" i="11" s="1"/>
  <c r="AC4" i="11"/>
  <c r="K6" i="11"/>
  <c r="AJ5" i="11" l="1"/>
  <c r="AK5" i="11" s="1"/>
  <c r="AL5" i="11" s="1"/>
  <c r="AM5" i="11" s="1"/>
  <c r="AN5" i="11" s="1"/>
  <c r="AO5" i="11" s="1"/>
  <c r="AP5" i="11" s="1"/>
  <c r="L6" i="11"/>
  <c r="AQ5" i="11" l="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L5" i="11" s="1"/>
  <c r="BJ6" i="11"/>
  <c r="AE6" i="11"/>
  <c r="BL4" i="11" l="1"/>
  <c r="BL6" i="11"/>
  <c r="BM5" i="11"/>
  <c r="BK6" i="11"/>
  <c r="AF6" i="11"/>
  <c r="BM6" i="11" l="1"/>
  <c r="BN5" i="11"/>
  <c r="AG6" i="11"/>
  <c r="BN6" i="11" l="1"/>
  <c r="BO5" i="11"/>
  <c r="AH6" i="11"/>
  <c r="BO6" i="11" l="1"/>
  <c r="BP5" i="11"/>
  <c r="AI6" i="11"/>
  <c r="BP6" i="11" l="1"/>
  <c r="BQ5" i="11"/>
  <c r="AJ6" i="11"/>
  <c r="BQ6" i="11" l="1"/>
  <c r="BR5" i="11"/>
  <c r="AK6" i="11"/>
  <c r="BR6" i="11" l="1"/>
  <c r="BS5" i="11"/>
  <c r="AL6" i="11"/>
  <c r="BS4" i="11" l="1"/>
  <c r="BS6" i="11"/>
  <c r="BT5" i="11"/>
  <c r="AM6" i="11"/>
  <c r="BT6" i="11" l="1"/>
  <c r="BU5" i="11"/>
  <c r="AN6" i="11"/>
  <c r="BU6" i="11" l="1"/>
  <c r="BV5" i="11"/>
  <c r="AO6" i="11"/>
  <c r="BV6" i="11" l="1"/>
  <c r="BW5" i="11"/>
  <c r="AP6" i="11"/>
  <c r="BW6" i="11" l="1"/>
  <c r="BX5" i="11"/>
  <c r="AQ6" i="11"/>
  <c r="BX6" i="11" l="1"/>
  <c r="BY5" i="11"/>
  <c r="BY6" i="11" l="1"/>
  <c r="BZ5" i="11"/>
  <c r="BZ4" i="11" l="1"/>
  <c r="BZ6" i="11"/>
  <c r="CA5" i="11"/>
  <c r="CA6" i="11" l="1"/>
  <c r="CB5" i="11"/>
  <c r="CB6" i="11" l="1"/>
  <c r="CC5" i="11"/>
  <c r="CC6" i="11" l="1"/>
  <c r="CD5" i="11"/>
  <c r="CD6" i="11" l="1"/>
  <c r="CE5" i="11"/>
  <c r="CE6" i="11" l="1"/>
  <c r="CF5" i="11"/>
  <c r="CF6" i="11" l="1"/>
  <c r="CG5" i="11"/>
  <c r="CG6" i="11" l="1"/>
  <c r="CH5" i="11"/>
  <c r="CG4" i="11"/>
  <c r="CH6" i="11" l="1"/>
  <c r="CI5" i="11"/>
  <c r="CI6" i="11" l="1"/>
  <c r="CJ5" i="11"/>
  <c r="CJ6" i="11" l="1"/>
  <c r="CK5" i="11"/>
  <c r="CK6" i="11" l="1"/>
  <c r="CL5" i="11"/>
  <c r="CL6" i="11" l="1"/>
  <c r="CM5" i="11"/>
  <c r="CM6" i="11" l="1"/>
  <c r="CN5" i="11"/>
  <c r="CN4" i="11" l="1"/>
  <c r="CN6" i="11"/>
  <c r="CO5" i="11"/>
  <c r="CO6" i="11" l="1"/>
  <c r="CP5" i="11"/>
  <c r="CP6" i="11" l="1"/>
  <c r="CQ5" i="11"/>
  <c r="CQ6" i="11" l="1"/>
  <c r="CR5" i="11"/>
  <c r="CR6" i="11" l="1"/>
  <c r="CS5" i="11"/>
  <c r="CS6" i="11" l="1"/>
  <c r="CT5" i="11"/>
  <c r="CT6" i="11" l="1"/>
  <c r="CU5" i="11"/>
  <c r="CU6" i="11" l="1"/>
  <c r="CV5" i="11"/>
  <c r="CU4" i="11"/>
  <c r="CV6" i="11" l="1"/>
  <c r="CW5" i="11"/>
  <c r="CW6" i="11" l="1"/>
  <c r="CX5" i="11"/>
  <c r="CX6" i="11" l="1"/>
  <c r="CY5" i="11"/>
  <c r="CY6" i="11" l="1"/>
  <c r="CZ5" i="11"/>
  <c r="CZ6" i="11" l="1"/>
  <c r="DA5" i="11"/>
  <c r="DA6" i="11" l="1"/>
  <c r="DB5" i="11"/>
  <c r="DB4" i="11" l="1"/>
  <c r="DB6" i="11"/>
  <c r="DC5" i="11"/>
  <c r="DC6" i="11" l="1"/>
  <c r="DD5" i="11"/>
  <c r="DD6" i="11" l="1"/>
  <c r="DE5" i="11"/>
  <c r="DE6" i="11" l="1"/>
  <c r="DF5" i="11"/>
  <c r="DF6" i="11" l="1"/>
  <c r="DG5" i="11"/>
  <c r="DG6" i="11" l="1"/>
  <c r="DH5" i="11"/>
  <c r="DH6" i="11" l="1"/>
  <c r="DI5" i="11"/>
  <c r="DI6" i="11" l="1"/>
  <c r="DJ5" i="11"/>
  <c r="DI4" i="11"/>
  <c r="DJ6" i="11" l="1"/>
  <c r="DK5" i="11"/>
  <c r="DK6" i="11" l="1"/>
  <c r="DL5" i="11"/>
  <c r="DL6" i="11" l="1"/>
  <c r="DM5" i="11"/>
  <c r="DM6" i="11" l="1"/>
  <c r="DN5" i="11"/>
  <c r="DN6" i="11" l="1"/>
  <c r="DO5" i="11"/>
  <c r="DO6" i="11" s="1"/>
</calcChain>
</file>

<file path=xl/sharedStrings.xml><?xml version="1.0" encoding="utf-8"?>
<sst xmlns="http://schemas.openxmlformats.org/spreadsheetml/2006/main" count="64" uniqueCount="51">
  <si>
    <t>Sistema de Gestão de uma Oficina de Trotinetes</t>
  </si>
  <si>
    <t>Project start:</t>
  </si>
  <si>
    <t>EcoRide Solutions</t>
  </si>
  <si>
    <t>Display week:</t>
  </si>
  <si>
    <t>TASK</t>
  </si>
  <si>
    <t>ASSIGNED TO</t>
  </si>
  <si>
    <t>START</t>
  </si>
  <si>
    <t>END</t>
  </si>
  <si>
    <t xml:space="preserve">Do not delete this row. This row is hidden to preserve a formula that is used to highlight the current day within the project schedule. </t>
  </si>
  <si>
    <t>Conceção e Engenharia de Requisitos</t>
  </si>
  <si>
    <t>Definição do domínio</t>
  </si>
  <si>
    <t>Tiago</t>
  </si>
  <si>
    <t>Identificação de stakeholders</t>
  </si>
  <si>
    <t>Duarte</t>
  </si>
  <si>
    <t>Contexto e restrições</t>
  </si>
  <si>
    <t>Luís</t>
  </si>
  <si>
    <t>Simulação de entrevistas</t>
  </si>
  <si>
    <t>Inês</t>
  </si>
  <si>
    <t>Geração de user stories</t>
  </si>
  <si>
    <t>Eduardo</t>
  </si>
  <si>
    <t>Refinamente de requisitos</t>
  </si>
  <si>
    <t>Arquitetura e Design do Software</t>
  </si>
  <si>
    <t>Definição da arquitetura</t>
  </si>
  <si>
    <t>Desenvolver diagramas</t>
  </si>
  <si>
    <t>Design de interfaces</t>
  </si>
  <si>
    <t>Documentação da arquitetura</t>
  </si>
  <si>
    <t>Implementação e Desenvolvimento</t>
  </si>
  <si>
    <t>Configuração do ambiente</t>
  </si>
  <si>
    <t>Geração de código</t>
  </si>
  <si>
    <t>Desenvolvimento por módulos</t>
  </si>
  <si>
    <t>Implementação do sofware</t>
  </si>
  <si>
    <t>Revisão de código</t>
  </si>
  <si>
    <t>Verificação, Validação e Avaliação da Qualidade do Software</t>
  </si>
  <si>
    <t>Geração de testes</t>
  </si>
  <si>
    <t>Verificação dos requisitos</t>
  </si>
  <si>
    <t>Aceitação, análise e métricas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</si>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</sst>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sz val="11"/>
      <color theme="1"/>
      <name val="Arial Black"/>
      <family val="2"/>
      <scheme val="major"/>
    </font>
    <font>
      <sz val="11"/>
      <color rgb="FF1D2129"/>
      <name val="Arial"/>
      <family val="2"/>
      <scheme val="minor"/>
    </font>
    <font>
      <u/>
      <sz val="11"/>
      <color indexed="12"/>
      <name val="Arial"/>
      <family val="2"/>
      <scheme val="minor"/>
    </font>
    <font>
      <b/>
      <sz val="26"/>
      <color theme="1"/>
      <name val="Arial Black"/>
      <family val="2"/>
      <scheme val="major"/>
    </font>
    <font>
      <b/>
      <sz val="16"/>
      <color theme="1"/>
      <name val="Arial"/>
      <family val="2"/>
      <scheme val="minor"/>
    </font>
    <font>
      <b/>
      <sz val="16"/>
      <color theme="1"/>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00B050"/>
        <bgColor indexed="64"/>
      </patternFill>
    </fill>
    <fill>
      <patternFill patternType="solid">
        <fgColor theme="6" tint="0.59999389629810485"/>
        <bgColor indexed="64"/>
      </patternFill>
    </fill>
    <fill>
      <patternFill patternType="solid">
        <fgColor rgb="FF00B0F0"/>
        <bgColor indexed="64"/>
      </patternFill>
    </fill>
    <fill>
      <patternFill patternType="solid">
        <fgColor theme="7" tint="0.79998168889431442"/>
        <bgColor indexed="64"/>
      </patternFill>
    </fill>
    <fill>
      <patternFill patternType="solid">
        <fgColor rgb="FFFF616B"/>
        <bgColor indexed="64"/>
      </patternFill>
    </fill>
    <fill>
      <patternFill patternType="solid">
        <fgColor rgb="FFFFCFCF"/>
        <bgColor indexed="64"/>
      </patternFill>
    </fill>
    <fill>
      <patternFill patternType="solid">
        <fgColor theme="8" tint="0.39997558519241921"/>
        <bgColor indexed="64"/>
      </patternFill>
    </fill>
  </fills>
  <borders count="1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1">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2"/>
    <xf numFmtId="0" fontId="13" fillId="0" borderId="0" xfId="2"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9" fillId="5" borderId="16" xfId="0" applyNumberFormat="1" applyFont="1" applyFill="1" applyBorder="1" applyAlignment="1">
      <alignment horizontal="center" vertical="center"/>
    </xf>
    <xf numFmtId="168" fontId="19" fillId="5" borderId="14" xfId="0" applyNumberFormat="1" applyFont="1" applyFill="1" applyBorder="1" applyAlignment="1">
      <alignment horizontal="center" vertical="center"/>
    </xf>
    <xf numFmtId="168" fontId="19" fillId="5" borderId="15" xfId="0" applyNumberFormat="1" applyFont="1" applyFill="1" applyBorder="1" applyAlignment="1">
      <alignment horizontal="center" vertical="center"/>
    </xf>
    <xf numFmtId="0" fontId="20" fillId="2" borderId="13" xfId="0" applyFont="1" applyFill="1" applyBorder="1" applyAlignment="1">
      <alignment horizontal="center" vertical="center" shrinkToFit="1"/>
    </xf>
    <xf numFmtId="0" fontId="20" fillId="2" borderId="10" xfId="0" applyFont="1" applyFill="1" applyBorder="1" applyAlignment="1">
      <alignment horizontal="center" vertical="center" shrinkToFit="1"/>
    </xf>
    <xf numFmtId="0" fontId="20" fillId="2" borderId="11"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4" fillId="0" borderId="8"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4" fillId="0" borderId="7" xfId="0" applyFont="1" applyBorder="1" applyAlignment="1">
      <alignment vertical="center"/>
    </xf>
    <xf numFmtId="0" fontId="4" fillId="0" borderId="6" xfId="0" applyFont="1" applyBorder="1" applyAlignment="1">
      <alignment vertical="center"/>
    </xf>
    <xf numFmtId="0" fontId="17" fillId="3" borderId="5" xfId="11" applyFont="1" applyFill="1" applyBorder="1">
      <alignment horizontal="left" vertical="center" indent="2"/>
    </xf>
    <xf numFmtId="0" fontId="17" fillId="3" borderId="5" xfId="10" applyFont="1" applyFill="1" applyBorder="1" applyAlignment="1">
      <alignment vertical="center"/>
    </xf>
    <xf numFmtId="165" fontId="17" fillId="3" borderId="5" xfId="9" applyFont="1" applyFill="1" applyBorder="1">
      <alignment horizontal="center" vertical="center"/>
    </xf>
    <xf numFmtId="0" fontId="17" fillId="0" borderId="0" xfId="11" applyFont="1" applyBorder="1">
      <alignment horizontal="left" vertical="center" indent="2"/>
    </xf>
    <xf numFmtId="0" fontId="17" fillId="0" borderId="0" xfId="10" applyFont="1" applyBorder="1" applyAlignment="1">
      <alignment vertical="center"/>
    </xf>
    <xf numFmtId="165" fontId="17" fillId="0" borderId="0" xfId="9" applyFont="1" applyBorder="1">
      <alignment horizontal="center" vertical="center"/>
    </xf>
    <xf numFmtId="0" fontId="22" fillId="2" borderId="0" xfId="0" applyFont="1" applyFill="1" applyAlignment="1">
      <alignment horizontal="left" vertical="center" indent="1"/>
    </xf>
    <xf numFmtId="0" fontId="22" fillId="2" borderId="0" xfId="0" applyFont="1" applyFill="1" applyAlignment="1">
      <alignment vertical="center"/>
    </xf>
    <xf numFmtId="165" fontId="23"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24" fillId="0" borderId="0" xfId="6" applyFont="1" applyAlignment="1">
      <alignment horizontal="left" vertical="center" indent="1"/>
    </xf>
    <xf numFmtId="0" fontId="9" fillId="0" borderId="0" xfId="0" applyFont="1" applyAlignment="1">
      <alignment horizontal="left" vertical="center" indent="1"/>
    </xf>
    <xf numFmtId="0" fontId="3" fillId="0" borderId="0" xfId="0" applyFont="1" applyAlignment="1">
      <alignment horizontal="left" vertical="top" indent="1"/>
    </xf>
    <xf numFmtId="0" fontId="24"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9" fillId="0" borderId="0" xfId="5" applyFont="1" applyAlignment="1">
      <alignment horizontal="left" vertical="center" indent="1"/>
    </xf>
    <xf numFmtId="167" fontId="17" fillId="2" borderId="9" xfId="0" applyNumberFormat="1" applyFont="1" applyFill="1" applyBorder="1" applyAlignment="1">
      <alignment horizontal="center" vertical="center" wrapText="1"/>
    </xf>
    <xf numFmtId="167" fontId="17" fillId="2" borderId="15" xfId="0" applyNumberFormat="1" applyFont="1" applyFill="1" applyBorder="1" applyAlignment="1">
      <alignment horizontal="center" vertical="center" wrapText="1"/>
    </xf>
    <xf numFmtId="167" fontId="17" fillId="2" borderId="14" xfId="0" applyNumberFormat="1" applyFont="1" applyFill="1" applyBorder="1" applyAlignment="1">
      <alignment horizontal="center" vertical="center" wrapText="1"/>
    </xf>
    <xf numFmtId="0" fontId="18" fillId="4" borderId="12" xfId="0" applyFont="1" applyFill="1" applyBorder="1" applyAlignment="1">
      <alignment horizontal="center" vertical="center"/>
    </xf>
    <xf numFmtId="0" fontId="30" fillId="0" borderId="0" xfId="0" applyFont="1" applyAlignment="1">
      <alignment horizontal="left"/>
    </xf>
    <xf numFmtId="166" fontId="30" fillId="0" borderId="0" xfId="8" applyFont="1" applyBorder="1" applyAlignment="1">
      <alignment horizontal="left"/>
    </xf>
    <xf numFmtId="0" fontId="29" fillId="0" borderId="0" xfId="7" applyFont="1" applyAlignment="1">
      <alignment horizontal="left"/>
    </xf>
    <xf numFmtId="0" fontId="28" fillId="0" borderId="0" xfId="4" applyFont="1" applyAlignment="1">
      <alignment horizontal="left" vertical="top" wrapText="1"/>
    </xf>
    <xf numFmtId="0" fontId="13" fillId="0" borderId="0" xfId="2" applyAlignment="1">
      <alignment wrapText="1"/>
    </xf>
    <xf numFmtId="0" fontId="18" fillId="4" borderId="12" xfId="0" applyFont="1" applyFill="1" applyBorder="1" applyAlignment="1">
      <alignment horizontal="left" vertical="center" indent="1"/>
    </xf>
    <xf numFmtId="0" fontId="4" fillId="2" borderId="17" xfId="0" applyFont="1" applyFill="1" applyBorder="1" applyAlignment="1">
      <alignment horizontal="left" indent="1"/>
    </xf>
    <xf numFmtId="0" fontId="18" fillId="4" borderId="12" xfId="0" applyFont="1" applyFill="1" applyBorder="1" applyAlignment="1">
      <alignment vertical="center"/>
    </xf>
    <xf numFmtId="0" fontId="21" fillId="6" borderId="0" xfId="0" applyFont="1" applyFill="1" applyAlignment="1">
      <alignment horizontal="left" vertical="center" indent="1"/>
    </xf>
    <xf numFmtId="0" fontId="17" fillId="6" borderId="0" xfId="10" applyFont="1" applyFill="1" applyBorder="1" applyAlignment="1">
      <alignment vertical="center"/>
    </xf>
    <xf numFmtId="165" fontId="17"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17" fillId="7" borderId="0" xfId="11" applyFont="1" applyFill="1" applyBorder="1">
      <alignment horizontal="left" vertical="center" indent="2"/>
    </xf>
    <xf numFmtId="0" fontId="17" fillId="7" borderId="0" xfId="10" applyFont="1" applyFill="1" applyBorder="1" applyAlignment="1">
      <alignment vertical="center"/>
    </xf>
    <xf numFmtId="165" fontId="17" fillId="7" borderId="0" xfId="9" applyFont="1" applyFill="1" applyBorder="1">
      <alignment horizontal="center" vertical="center"/>
    </xf>
    <xf numFmtId="0" fontId="21" fillId="8" borderId="0" xfId="0" applyFont="1" applyFill="1" applyBorder="1" applyAlignment="1">
      <alignment horizontal="left" vertical="center" indent="1"/>
    </xf>
    <xf numFmtId="0" fontId="17" fillId="8" borderId="0" xfId="10" applyFont="1" applyFill="1" applyBorder="1" applyAlignment="1">
      <alignment vertical="center"/>
    </xf>
    <xf numFmtId="165" fontId="17" fillId="8" borderId="0" xfId="0" applyNumberFormat="1" applyFont="1" applyFill="1" applyBorder="1" applyAlignment="1">
      <alignment horizontal="center" vertical="center"/>
    </xf>
    <xf numFmtId="165" fontId="1" fillId="8" borderId="0" xfId="0" applyNumberFormat="1" applyFont="1" applyFill="1" applyBorder="1" applyAlignment="1">
      <alignment horizontal="center" vertical="center"/>
    </xf>
    <xf numFmtId="0" fontId="17" fillId="9" borderId="0" xfId="11" applyFont="1" applyFill="1" applyBorder="1">
      <alignment horizontal="left" vertical="center" indent="2"/>
    </xf>
    <xf numFmtId="0" fontId="17" fillId="9" borderId="0" xfId="10" applyFont="1" applyFill="1" applyBorder="1" applyAlignment="1">
      <alignment vertical="center"/>
    </xf>
    <xf numFmtId="165" fontId="17" fillId="9" borderId="0" xfId="9" applyFont="1" applyFill="1" applyBorder="1">
      <alignment horizontal="center" vertical="center"/>
    </xf>
    <xf numFmtId="0" fontId="21" fillId="10" borderId="0" xfId="0" applyFont="1" applyFill="1" applyAlignment="1">
      <alignment horizontal="left" vertical="center" indent="1"/>
    </xf>
    <xf numFmtId="0" fontId="17" fillId="10" borderId="0" xfId="10" applyFont="1" applyFill="1" applyBorder="1" applyAlignment="1">
      <alignment vertical="center"/>
    </xf>
    <xf numFmtId="165" fontId="17" fillId="10" borderId="0" xfId="0" applyNumberFormat="1" applyFont="1" applyFill="1" applyAlignment="1">
      <alignment horizontal="center" vertical="center"/>
    </xf>
    <xf numFmtId="0" fontId="17" fillId="11" borderId="0" xfId="11" applyFont="1" applyFill="1" applyBorder="1">
      <alignment horizontal="left" vertical="center" indent="2"/>
    </xf>
    <xf numFmtId="0" fontId="17" fillId="11" borderId="0" xfId="10" applyFont="1" applyFill="1" applyBorder="1" applyAlignment="1">
      <alignment vertical="center"/>
    </xf>
    <xf numFmtId="165" fontId="17" fillId="11" borderId="0" xfId="9" applyFont="1" applyFill="1" applyBorder="1">
      <alignment horizontal="center" vertical="center"/>
    </xf>
    <xf numFmtId="0" fontId="21" fillId="12" borderId="0" xfId="0" applyFont="1" applyFill="1" applyAlignment="1">
      <alignment horizontal="left" vertical="center" indent="1"/>
    </xf>
    <xf numFmtId="0" fontId="17" fillId="12" borderId="0" xfId="10" applyFont="1" applyFill="1" applyBorder="1" applyAlignment="1">
      <alignment vertical="center"/>
    </xf>
    <xf numFmtId="165" fontId="17" fillId="12" borderId="0" xfId="0" applyNumberFormat="1" applyFont="1" applyFill="1" applyAlignment="1">
      <alignment horizontal="center" vertical="center"/>
    </xf>
    <xf numFmtId="165" fontId="1" fillId="12" borderId="0" xfId="0" applyNumberFormat="1" applyFont="1" applyFill="1" applyAlignment="1">
      <alignment horizontal="center" vertical="center"/>
    </xf>
    <xf numFmtId="167" fontId="17" fillId="2" borderId="16" xfId="0" applyNumberFormat="1" applyFont="1" applyFill="1" applyBorder="1" applyAlignment="1">
      <alignment horizontal="center" vertical="center" wrapText="1"/>
    </xf>
    <xf numFmtId="0" fontId="0" fillId="0" borderId="0" xfId="0" applyAlignment="1"/>
    <xf numFmtId="0" fontId="25" fillId="0" borderId="0" xfId="0" applyFont="1" applyAlignment="1"/>
    <xf numFmtId="0" fontId="4" fillId="2" borderId="17" xfId="0" applyFont="1" applyFill="1" applyBorder="1" applyAlignment="1"/>
  </cellXfs>
  <cellStyles count="12">
    <cellStyle name="Cabeçalho 1" xfId="5" builtinId="16" customBuiltin="1"/>
    <cellStyle name="Cabeçalho 2" xfId="6" builtinId="17" customBuiltin="1"/>
    <cellStyle name="Cabeçalho 3" xfId="7" builtinId="18" customBuiltin="1"/>
    <cellStyle name="Date" xfId="9" xr:uid="{229918B6-DD13-4F5A-97B9-305F7E002AA3}"/>
    <cellStyle name="Hiperligação"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ítulo" xfId="4" builtinId="15" customBuiltin="1"/>
    <cellStyle name="Vírgula" xfId="3" builtinId="3" customBuiltin="1"/>
    <cellStyle name="zHiddenText" xfId="2" xr:uid="{26E66EE6-E33F-4D77-BAE4-0FB4F5BBF673}"/>
  </cellStyles>
  <dxfs count="81">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fill>
        <patternFill patternType="solid">
          <bgColor theme="8" tint="0.39997558519241921"/>
        </patternFill>
      </fill>
    </dxf>
    <dxf>
      <fill>
        <patternFill>
          <bgColor theme="8" tint="0.59996337778862885"/>
        </patternFill>
      </fill>
      <border>
        <left/>
        <right/>
      </border>
    </dxf>
    <dxf>
      <fill>
        <patternFill patternType="solid">
          <bgColor rgb="FF00B0F0"/>
        </patternFill>
      </fill>
      <border>
        <top style="thin">
          <color rgb="FFF2F2F2"/>
        </top>
        <bottom style="thin">
          <color rgb="FFF2F2F2"/>
        </bottom>
      </border>
    </dxf>
    <dxf>
      <fill>
        <patternFill>
          <bgColor theme="6" tint="0.79998168889431442"/>
        </patternFill>
      </fill>
      <border>
        <top style="thin">
          <color theme="0" tint="-4.9989318521683403E-2"/>
        </top>
        <bottom style="thin">
          <color theme="0" tint="-4.9989318521683403E-2"/>
        </bottom>
      </border>
    </dxf>
    <dxf>
      <fill>
        <patternFill patternType="solid">
          <bgColor rgb="FF00B050"/>
        </patternFill>
      </fill>
      <border>
        <top style="thin">
          <color rgb="FFF2F2F2"/>
        </top>
        <bottom style="thin">
          <color rgb="FFF2F2F2"/>
        </bottom>
      </border>
    </dxf>
    <dxf>
      <fill>
        <patternFill>
          <bgColor theme="5" tint="0.79998168889431442"/>
        </patternFill>
      </fill>
    </dxf>
    <dxf>
      <fill>
        <patternFill patternType="solid">
          <bgColor rgb="FFFF616B"/>
        </patternFill>
      </fill>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80"/>
      <tableStyleElement type="headerRow" dxfId="79"/>
      <tableStyleElement type="totalRow" dxfId="78"/>
      <tableStyleElement type="firstColumn" dxfId="77"/>
      <tableStyleElement type="lastColumn" dxfId="76"/>
      <tableStyleElement type="firstRowStripe" dxfId="75"/>
      <tableStyleElement type="secondRowStripe" dxfId="74"/>
      <tableStyleElement type="firstColumnStripe" dxfId="73"/>
      <tableStyleElement type="secondColumnStripe" dxfId="7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616B"/>
      <color rgb="FFFFCFCF"/>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O34"/>
  <sheetViews>
    <sheetView showGridLines="0" tabSelected="1" showRuler="0" topLeftCell="A4" zoomScaleNormal="100" zoomScalePageLayoutView="70" workbookViewId="0">
      <selection activeCell="T27" sqref="T27"/>
    </sheetView>
  </sheetViews>
  <sheetFormatPr defaultColWidth="8.75" defaultRowHeight="30" customHeight="1"/>
  <cols>
    <col min="1" max="1" width="2.75" style="13" customWidth="1"/>
    <col min="2" max="2" width="27.625" customWidth="1"/>
    <col min="3" max="3" width="16.75" customWidth="1"/>
    <col min="4" max="4" width="10.75" style="2" customWidth="1"/>
    <col min="5" max="5" width="10.75" customWidth="1"/>
    <col min="6" max="6" width="2.75" customWidth="1"/>
    <col min="7" max="7" width="6" hidden="1" customWidth="1"/>
    <col min="8" max="119" width="2.75" customWidth="1"/>
  </cols>
  <sheetData>
    <row r="1" spans="1:119" ht="90" customHeight="1">
      <c r="A1" s="14"/>
      <c r="B1" s="68" t="s">
        <v>0</v>
      </c>
      <c r="C1" s="68"/>
      <c r="D1" s="68"/>
      <c r="E1" s="68"/>
      <c r="G1" s="1"/>
      <c r="H1" s="67" t="s">
        <v>1</v>
      </c>
      <c r="I1" s="98"/>
      <c r="J1" s="98"/>
      <c r="K1" s="98"/>
      <c r="L1" s="98"/>
      <c r="M1" s="98"/>
      <c r="N1" s="98"/>
      <c r="O1" s="20"/>
      <c r="P1" s="66">
        <v>46062</v>
      </c>
      <c r="Q1" s="99"/>
      <c r="R1" s="99"/>
      <c r="S1" s="99"/>
      <c r="T1" s="99"/>
      <c r="U1" s="99"/>
      <c r="V1" s="99"/>
      <c r="W1" s="99"/>
      <c r="X1" s="99"/>
      <c r="Y1" s="99"/>
    </row>
    <row r="2" spans="1:119" ht="30" customHeight="1">
      <c r="B2" s="60" t="s">
        <v>2</v>
      </c>
      <c r="C2" s="52"/>
      <c r="D2" s="19"/>
      <c r="E2" s="18"/>
      <c r="H2" s="67" t="s">
        <v>3</v>
      </c>
      <c r="I2" s="98"/>
      <c r="J2" s="98"/>
      <c r="K2" s="98"/>
      <c r="L2" s="98"/>
      <c r="M2" s="98"/>
      <c r="N2" s="98"/>
      <c r="O2" s="20"/>
      <c r="P2" s="65">
        <v>1</v>
      </c>
      <c r="Q2" s="99"/>
      <c r="R2" s="99"/>
      <c r="S2" s="99"/>
      <c r="T2" s="99"/>
      <c r="U2" s="99"/>
      <c r="V2" s="99"/>
      <c r="W2" s="99"/>
      <c r="X2" s="99"/>
      <c r="Y2" s="99"/>
    </row>
    <row r="3" spans="1:119" s="22" customFormat="1" ht="30" customHeight="1">
      <c r="A3" s="13"/>
      <c r="B3" s="21"/>
      <c r="D3" s="23"/>
    </row>
    <row r="4" spans="1:119" s="22" customFormat="1" ht="30" customHeight="1">
      <c r="A4" s="14"/>
      <c r="B4" s="24"/>
      <c r="D4" s="25"/>
      <c r="H4" s="63">
        <f>H5</f>
        <v>46062</v>
      </c>
      <c r="I4" s="61"/>
      <c r="J4" s="61"/>
      <c r="K4" s="61"/>
      <c r="L4" s="61"/>
      <c r="M4" s="61"/>
      <c r="N4" s="61"/>
      <c r="O4" s="61">
        <f>O5</f>
        <v>46069</v>
      </c>
      <c r="P4" s="61"/>
      <c r="Q4" s="61"/>
      <c r="R4" s="61"/>
      <c r="S4" s="61"/>
      <c r="T4" s="61"/>
      <c r="U4" s="61"/>
      <c r="V4" s="61">
        <f>V5</f>
        <v>46076</v>
      </c>
      <c r="W4" s="61"/>
      <c r="X4" s="61"/>
      <c r="Y4" s="61"/>
      <c r="Z4" s="61"/>
      <c r="AA4" s="61"/>
      <c r="AB4" s="61"/>
      <c r="AC4" s="61">
        <f>AC5</f>
        <v>46083</v>
      </c>
      <c r="AD4" s="61"/>
      <c r="AE4" s="61"/>
      <c r="AF4" s="61"/>
      <c r="AG4" s="61"/>
      <c r="AH4" s="61"/>
      <c r="AI4" s="61"/>
      <c r="AJ4" s="61">
        <f>AJ5</f>
        <v>46090</v>
      </c>
      <c r="AK4" s="61"/>
      <c r="AL4" s="61"/>
      <c r="AM4" s="61"/>
      <c r="AN4" s="61"/>
      <c r="AO4" s="61"/>
      <c r="AP4" s="61"/>
      <c r="AQ4" s="61">
        <f>AQ5</f>
        <v>46097</v>
      </c>
      <c r="AR4" s="61"/>
      <c r="AS4" s="61"/>
      <c r="AT4" s="61"/>
      <c r="AU4" s="61"/>
      <c r="AV4" s="61"/>
      <c r="AW4" s="61"/>
      <c r="AX4" s="62">
        <f>AX5</f>
        <v>46104</v>
      </c>
      <c r="AY4" s="97"/>
      <c r="AZ4" s="97"/>
      <c r="BA4" s="97"/>
      <c r="BB4" s="97"/>
      <c r="BC4" s="97"/>
      <c r="BD4" s="63"/>
      <c r="BE4" s="62">
        <f>BE5</f>
        <v>46111</v>
      </c>
      <c r="BF4" s="97"/>
      <c r="BG4" s="97"/>
      <c r="BH4" s="97"/>
      <c r="BI4" s="97"/>
      <c r="BJ4" s="97"/>
      <c r="BK4" s="97"/>
      <c r="BL4" s="62">
        <f>BL5</f>
        <v>46118</v>
      </c>
      <c r="BM4" s="97"/>
      <c r="BN4" s="97"/>
      <c r="BO4" s="97"/>
      <c r="BP4" s="97"/>
      <c r="BQ4" s="97"/>
      <c r="BR4" s="97"/>
      <c r="BS4" s="62">
        <f>BS5</f>
        <v>46125</v>
      </c>
      <c r="BT4" s="97"/>
      <c r="BU4" s="97"/>
      <c r="BV4" s="97"/>
      <c r="BW4" s="97"/>
      <c r="BX4" s="97"/>
      <c r="BY4" s="97"/>
      <c r="BZ4" s="62">
        <f>BZ5</f>
        <v>46132</v>
      </c>
      <c r="CA4" s="97"/>
      <c r="CB4" s="97"/>
      <c r="CC4" s="97"/>
      <c r="CD4" s="97"/>
      <c r="CE4" s="97"/>
      <c r="CF4" s="97"/>
      <c r="CG4" s="62">
        <f>CG5</f>
        <v>46139</v>
      </c>
      <c r="CH4" s="97"/>
      <c r="CI4" s="97"/>
      <c r="CJ4" s="97"/>
      <c r="CK4" s="97"/>
      <c r="CL4" s="97"/>
      <c r="CM4" s="97"/>
      <c r="CN4" s="62">
        <f>CN5</f>
        <v>46146</v>
      </c>
      <c r="CO4" s="97"/>
      <c r="CP4" s="97"/>
      <c r="CQ4" s="97"/>
      <c r="CR4" s="97"/>
      <c r="CS4" s="97"/>
      <c r="CT4" s="97"/>
      <c r="CU4" s="62">
        <f>CU5</f>
        <v>46153</v>
      </c>
      <c r="CV4" s="97"/>
      <c r="CW4" s="97"/>
      <c r="CX4" s="97"/>
      <c r="CY4" s="97"/>
      <c r="CZ4" s="97"/>
      <c r="DA4" s="97"/>
      <c r="DB4" s="62">
        <f>DB5</f>
        <v>46160</v>
      </c>
      <c r="DC4" s="97"/>
      <c r="DD4" s="97"/>
      <c r="DE4" s="97"/>
      <c r="DF4" s="97"/>
      <c r="DG4" s="97"/>
      <c r="DH4" s="97"/>
      <c r="DI4" s="62">
        <f>DI5</f>
        <v>46167</v>
      </c>
      <c r="DJ4" s="97"/>
      <c r="DK4" s="97"/>
      <c r="DL4" s="97"/>
      <c r="DM4" s="97"/>
      <c r="DN4" s="97"/>
      <c r="DO4" s="97"/>
    </row>
    <row r="5" spans="1:119" s="22" customFormat="1" ht="15" customHeight="1">
      <c r="A5" s="69"/>
      <c r="B5" s="70" t="s">
        <v>4</v>
      </c>
      <c r="C5" s="72" t="s">
        <v>5</v>
      </c>
      <c r="D5" s="64" t="s">
        <v>6</v>
      </c>
      <c r="E5" s="64" t="s">
        <v>7</v>
      </c>
      <c r="H5" s="26">
        <f>Project_Start-WEEKDAY(Project_Start,1)+2+7*(Display_Week-1)</f>
        <v>46062</v>
      </c>
      <c r="I5" s="26">
        <f>H5+1</f>
        <v>46063</v>
      </c>
      <c r="J5" s="26">
        <f t="shared" ref="J5:AP5" si="0">I5+1</f>
        <v>46064</v>
      </c>
      <c r="K5" s="26">
        <f t="shared" si="0"/>
        <v>46065</v>
      </c>
      <c r="L5" s="26">
        <f t="shared" si="0"/>
        <v>46066</v>
      </c>
      <c r="M5" s="26">
        <f t="shared" si="0"/>
        <v>46067</v>
      </c>
      <c r="N5" s="27">
        <f t="shared" si="0"/>
        <v>46068</v>
      </c>
      <c r="O5" s="28">
        <f>N5+1</f>
        <v>46069</v>
      </c>
      <c r="P5" s="26">
        <f>O5+1</f>
        <v>46070</v>
      </c>
      <c r="Q5" s="26">
        <f t="shared" si="0"/>
        <v>46071</v>
      </c>
      <c r="R5" s="26">
        <f t="shared" si="0"/>
        <v>46072</v>
      </c>
      <c r="S5" s="26">
        <f t="shared" si="0"/>
        <v>46073</v>
      </c>
      <c r="T5" s="26">
        <f t="shared" si="0"/>
        <v>46074</v>
      </c>
      <c r="U5" s="27">
        <f t="shared" si="0"/>
        <v>46075</v>
      </c>
      <c r="V5" s="28">
        <f>U5+1</f>
        <v>46076</v>
      </c>
      <c r="W5" s="26">
        <f>V5+1</f>
        <v>46077</v>
      </c>
      <c r="X5" s="26">
        <f t="shared" si="0"/>
        <v>46078</v>
      </c>
      <c r="Y5" s="26">
        <f t="shared" si="0"/>
        <v>46079</v>
      </c>
      <c r="Z5" s="26">
        <f t="shared" si="0"/>
        <v>46080</v>
      </c>
      <c r="AA5" s="26">
        <f t="shared" si="0"/>
        <v>46081</v>
      </c>
      <c r="AB5" s="27">
        <f t="shared" si="0"/>
        <v>46082</v>
      </c>
      <c r="AC5" s="28">
        <f>AB5+1</f>
        <v>46083</v>
      </c>
      <c r="AD5" s="26">
        <f>AC5+1</f>
        <v>46084</v>
      </c>
      <c r="AE5" s="26">
        <f t="shared" si="0"/>
        <v>46085</v>
      </c>
      <c r="AF5" s="26">
        <f t="shared" si="0"/>
        <v>46086</v>
      </c>
      <c r="AG5" s="26">
        <f t="shared" si="0"/>
        <v>46087</v>
      </c>
      <c r="AH5" s="26">
        <f t="shared" si="0"/>
        <v>46088</v>
      </c>
      <c r="AI5" s="27">
        <f t="shared" si="0"/>
        <v>46089</v>
      </c>
      <c r="AJ5" s="28">
        <f>AI5+1</f>
        <v>46090</v>
      </c>
      <c r="AK5" s="26">
        <f>AJ5+1</f>
        <v>46091</v>
      </c>
      <c r="AL5" s="26">
        <f t="shared" si="0"/>
        <v>46092</v>
      </c>
      <c r="AM5" s="26">
        <f t="shared" si="0"/>
        <v>46093</v>
      </c>
      <c r="AN5" s="26">
        <f t="shared" si="0"/>
        <v>46094</v>
      </c>
      <c r="AO5" s="26">
        <f t="shared" si="0"/>
        <v>46095</v>
      </c>
      <c r="AP5" s="27">
        <f t="shared" si="0"/>
        <v>46096</v>
      </c>
      <c r="AQ5" s="28">
        <f>AP5+1</f>
        <v>46097</v>
      </c>
      <c r="AR5" s="26">
        <f>AQ5+1</f>
        <v>46098</v>
      </c>
      <c r="AS5" s="26">
        <f>AR5+1</f>
        <v>46099</v>
      </c>
      <c r="AT5" s="26">
        <f>AS5+1</f>
        <v>46100</v>
      </c>
      <c r="AU5" s="26">
        <f>AT5+1</f>
        <v>46101</v>
      </c>
      <c r="AV5" s="26">
        <f>AU5+1</f>
        <v>46102</v>
      </c>
      <c r="AW5" s="27">
        <f>AV5+1</f>
        <v>46103</v>
      </c>
      <c r="AX5" s="28">
        <f>AW5+1</f>
        <v>46104</v>
      </c>
      <c r="AY5" s="26">
        <f>AX5+1</f>
        <v>46105</v>
      </c>
      <c r="AZ5" s="26">
        <f t="shared" ref="AZ5:BD5" si="1">AY5+1</f>
        <v>46106</v>
      </c>
      <c r="BA5" s="26">
        <f t="shared" si="1"/>
        <v>46107</v>
      </c>
      <c r="BB5" s="26">
        <f t="shared" si="1"/>
        <v>46108</v>
      </c>
      <c r="BC5" s="26">
        <f t="shared" si="1"/>
        <v>46109</v>
      </c>
      <c r="BD5" s="27">
        <f t="shared" si="1"/>
        <v>46110</v>
      </c>
      <c r="BE5" s="28">
        <f>BD5+1</f>
        <v>46111</v>
      </c>
      <c r="BF5" s="26">
        <f>BE5+1</f>
        <v>46112</v>
      </c>
      <c r="BG5" s="26">
        <f t="shared" ref="BG5:BI5" si="2">BF5+1</f>
        <v>46113</v>
      </c>
      <c r="BH5" s="26">
        <f t="shared" si="2"/>
        <v>46114</v>
      </c>
      <c r="BI5" s="26">
        <f t="shared" si="2"/>
        <v>46115</v>
      </c>
      <c r="BJ5" s="26">
        <f>BI5+1</f>
        <v>46116</v>
      </c>
      <c r="BK5" s="26">
        <f>BJ5+1</f>
        <v>46117</v>
      </c>
      <c r="BL5" s="28">
        <f>BK5+1</f>
        <v>46118</v>
      </c>
      <c r="BM5" s="26">
        <f>BL5+1</f>
        <v>46119</v>
      </c>
      <c r="BN5" s="26">
        <f t="shared" ref="BN5" si="3">BM5+1</f>
        <v>46120</v>
      </c>
      <c r="BO5" s="26">
        <f t="shared" ref="BO5" si="4">BN5+1</f>
        <v>46121</v>
      </c>
      <c r="BP5" s="26">
        <f t="shared" ref="BP5" si="5">BO5+1</f>
        <v>46122</v>
      </c>
      <c r="BQ5" s="26">
        <f>BP5+1</f>
        <v>46123</v>
      </c>
      <c r="BR5" s="26">
        <f>BQ5+1</f>
        <v>46124</v>
      </c>
      <c r="BS5" s="28">
        <f>BR5+1</f>
        <v>46125</v>
      </c>
      <c r="BT5" s="26">
        <f>BS5+1</f>
        <v>46126</v>
      </c>
      <c r="BU5" s="26">
        <f t="shared" ref="BU5" si="6">BT5+1</f>
        <v>46127</v>
      </c>
      <c r="BV5" s="26">
        <f t="shared" ref="BV5" si="7">BU5+1</f>
        <v>46128</v>
      </c>
      <c r="BW5" s="26">
        <f t="shared" ref="BW5" si="8">BV5+1</f>
        <v>46129</v>
      </c>
      <c r="BX5" s="26">
        <f>BW5+1</f>
        <v>46130</v>
      </c>
      <c r="BY5" s="26">
        <f>BX5+1</f>
        <v>46131</v>
      </c>
      <c r="BZ5" s="28">
        <f>BY5+1</f>
        <v>46132</v>
      </c>
      <c r="CA5" s="26">
        <f>BZ5+1</f>
        <v>46133</v>
      </c>
      <c r="CB5" s="26">
        <f t="shared" ref="CB5" si="9">CA5+1</f>
        <v>46134</v>
      </c>
      <c r="CC5" s="26">
        <f t="shared" ref="CC5" si="10">CB5+1</f>
        <v>46135</v>
      </c>
      <c r="CD5" s="26">
        <f t="shared" ref="CD5" si="11">CC5+1</f>
        <v>46136</v>
      </c>
      <c r="CE5" s="26">
        <f>CD5+1</f>
        <v>46137</v>
      </c>
      <c r="CF5" s="26">
        <f>CE5+1</f>
        <v>46138</v>
      </c>
      <c r="CG5" s="28">
        <f>CF5+1</f>
        <v>46139</v>
      </c>
      <c r="CH5" s="26">
        <f>CG5+1</f>
        <v>46140</v>
      </c>
      <c r="CI5" s="26">
        <f t="shared" ref="CI5" si="12">CH5+1</f>
        <v>46141</v>
      </c>
      <c r="CJ5" s="26">
        <f t="shared" ref="CJ5" si="13">CI5+1</f>
        <v>46142</v>
      </c>
      <c r="CK5" s="26">
        <f t="shared" ref="CK5" si="14">CJ5+1</f>
        <v>46143</v>
      </c>
      <c r="CL5" s="26">
        <f>CK5+1</f>
        <v>46144</v>
      </c>
      <c r="CM5" s="26">
        <f>CL5+1</f>
        <v>46145</v>
      </c>
      <c r="CN5" s="28">
        <f>CM5+1</f>
        <v>46146</v>
      </c>
      <c r="CO5" s="26">
        <f>CN5+1</f>
        <v>46147</v>
      </c>
      <c r="CP5" s="26">
        <f t="shared" ref="CP5" si="15">CO5+1</f>
        <v>46148</v>
      </c>
      <c r="CQ5" s="26">
        <f t="shared" ref="CQ5" si="16">CP5+1</f>
        <v>46149</v>
      </c>
      <c r="CR5" s="26">
        <f t="shared" ref="CR5" si="17">CQ5+1</f>
        <v>46150</v>
      </c>
      <c r="CS5" s="26">
        <f>CR5+1</f>
        <v>46151</v>
      </c>
      <c r="CT5" s="26">
        <f>CS5+1</f>
        <v>46152</v>
      </c>
      <c r="CU5" s="28">
        <f>CT5+1</f>
        <v>46153</v>
      </c>
      <c r="CV5" s="26">
        <f>CU5+1</f>
        <v>46154</v>
      </c>
      <c r="CW5" s="26">
        <f t="shared" ref="CW5" si="18">CV5+1</f>
        <v>46155</v>
      </c>
      <c r="CX5" s="26">
        <f t="shared" ref="CX5" si="19">CW5+1</f>
        <v>46156</v>
      </c>
      <c r="CY5" s="26">
        <f t="shared" ref="CY5" si="20">CX5+1</f>
        <v>46157</v>
      </c>
      <c r="CZ5" s="26">
        <f>CY5+1</f>
        <v>46158</v>
      </c>
      <c r="DA5" s="26">
        <f>CZ5+1</f>
        <v>46159</v>
      </c>
      <c r="DB5" s="28">
        <f>DA5+1</f>
        <v>46160</v>
      </c>
      <c r="DC5" s="26">
        <f>DB5+1</f>
        <v>46161</v>
      </c>
      <c r="DD5" s="26">
        <f t="shared" ref="DD5" si="21">DC5+1</f>
        <v>46162</v>
      </c>
      <c r="DE5" s="26">
        <f t="shared" ref="DE5" si="22">DD5+1</f>
        <v>46163</v>
      </c>
      <c r="DF5" s="26">
        <f t="shared" ref="DF5" si="23">DE5+1</f>
        <v>46164</v>
      </c>
      <c r="DG5" s="26">
        <f>DF5+1</f>
        <v>46165</v>
      </c>
      <c r="DH5" s="26">
        <f>DG5+1</f>
        <v>46166</v>
      </c>
      <c r="DI5" s="28">
        <f>DH5+1</f>
        <v>46167</v>
      </c>
      <c r="DJ5" s="26">
        <f>DI5+1</f>
        <v>46168</v>
      </c>
      <c r="DK5" s="26">
        <f t="shared" ref="DK5" si="24">DJ5+1</f>
        <v>46169</v>
      </c>
      <c r="DL5" s="26">
        <f t="shared" ref="DL5" si="25">DK5+1</f>
        <v>46170</v>
      </c>
      <c r="DM5" s="26">
        <f t="shared" ref="DM5" si="26">DL5+1</f>
        <v>46171</v>
      </c>
      <c r="DN5" s="26">
        <f>DM5+1</f>
        <v>46172</v>
      </c>
      <c r="DO5" s="26">
        <f>DN5+1</f>
        <v>46173</v>
      </c>
    </row>
    <row r="6" spans="1:119" s="22" customFormat="1" ht="15" customHeight="1">
      <c r="A6" s="69"/>
      <c r="B6" s="71"/>
      <c r="C6" s="100"/>
      <c r="D6" s="100"/>
      <c r="E6" s="100"/>
      <c r="H6" s="29" t="str">
        <f t="shared" ref="H6:AM6" si="27">LEFT(TEXT(H5,"ddd"),1)</f>
        <v>s</v>
      </c>
      <c r="I6" s="30" t="str">
        <f t="shared" si="27"/>
        <v>t</v>
      </c>
      <c r="J6" s="30" t="str">
        <f t="shared" si="27"/>
        <v>q</v>
      </c>
      <c r="K6" s="30" t="str">
        <f t="shared" si="27"/>
        <v>q</v>
      </c>
      <c r="L6" s="30" t="str">
        <f t="shared" si="27"/>
        <v>s</v>
      </c>
      <c r="M6" s="30" t="str">
        <f t="shared" si="27"/>
        <v>s</v>
      </c>
      <c r="N6" s="30" t="str">
        <f t="shared" si="27"/>
        <v>d</v>
      </c>
      <c r="O6" s="30" t="str">
        <f t="shared" si="27"/>
        <v>s</v>
      </c>
      <c r="P6" s="30" t="str">
        <f t="shared" si="27"/>
        <v>t</v>
      </c>
      <c r="Q6" s="30" t="str">
        <f t="shared" si="27"/>
        <v>q</v>
      </c>
      <c r="R6" s="30" t="str">
        <f t="shared" si="27"/>
        <v>q</v>
      </c>
      <c r="S6" s="30" t="str">
        <f t="shared" si="27"/>
        <v>s</v>
      </c>
      <c r="T6" s="30" t="str">
        <f t="shared" si="27"/>
        <v>s</v>
      </c>
      <c r="U6" s="30" t="str">
        <f t="shared" si="27"/>
        <v>d</v>
      </c>
      <c r="V6" s="30" t="str">
        <f t="shared" si="27"/>
        <v>s</v>
      </c>
      <c r="W6" s="30" t="str">
        <f t="shared" si="27"/>
        <v>t</v>
      </c>
      <c r="X6" s="30" t="str">
        <f t="shared" si="27"/>
        <v>q</v>
      </c>
      <c r="Y6" s="30" t="str">
        <f t="shared" si="27"/>
        <v>q</v>
      </c>
      <c r="Z6" s="30" t="str">
        <f t="shared" si="27"/>
        <v>s</v>
      </c>
      <c r="AA6" s="30" t="str">
        <f t="shared" si="27"/>
        <v>s</v>
      </c>
      <c r="AB6" s="30" t="str">
        <f t="shared" si="27"/>
        <v>d</v>
      </c>
      <c r="AC6" s="30" t="str">
        <f t="shared" si="27"/>
        <v>s</v>
      </c>
      <c r="AD6" s="30" t="str">
        <f t="shared" si="27"/>
        <v>t</v>
      </c>
      <c r="AE6" s="30" t="str">
        <f t="shared" si="27"/>
        <v>q</v>
      </c>
      <c r="AF6" s="30" t="str">
        <f t="shared" si="27"/>
        <v>q</v>
      </c>
      <c r="AG6" s="30" t="str">
        <f t="shared" si="27"/>
        <v>s</v>
      </c>
      <c r="AH6" s="30" t="str">
        <f t="shared" si="27"/>
        <v>s</v>
      </c>
      <c r="AI6" s="30" t="str">
        <f t="shared" si="27"/>
        <v>d</v>
      </c>
      <c r="AJ6" s="30" t="str">
        <f t="shared" si="27"/>
        <v>s</v>
      </c>
      <c r="AK6" s="30" t="str">
        <f t="shared" si="27"/>
        <v>t</v>
      </c>
      <c r="AL6" s="30" t="str">
        <f t="shared" si="27"/>
        <v>q</v>
      </c>
      <c r="AM6" s="30" t="str">
        <f t="shared" si="27"/>
        <v>q</v>
      </c>
      <c r="AN6" s="30" t="str">
        <f t="shared" ref="AN6:AP6" si="28">LEFT(TEXT(AN5,"ddd"),1)</f>
        <v>s</v>
      </c>
      <c r="AO6" s="30" t="str">
        <f t="shared" si="28"/>
        <v>s</v>
      </c>
      <c r="AP6" s="30" t="str">
        <f t="shared" si="28"/>
        <v>d</v>
      </c>
      <c r="AQ6" s="30" t="str">
        <f>LEFT(TEXT(AQ5,"ddd"),1)</f>
        <v>s</v>
      </c>
      <c r="AR6" s="30" t="str">
        <f>LEFT(TEXT(AR5,"ddd"),1)</f>
        <v>t</v>
      </c>
      <c r="AS6" s="30" t="str">
        <f>LEFT(TEXT(AS5,"ddd"),1)</f>
        <v>q</v>
      </c>
      <c r="AT6" s="30" t="str">
        <f>LEFT(TEXT(AT5,"ddd"),1)</f>
        <v>q</v>
      </c>
      <c r="AU6" s="30" t="str">
        <f>LEFT(TEXT(AU5,"ddd"),1)</f>
        <v>s</v>
      </c>
      <c r="AV6" s="30" t="str">
        <f>LEFT(TEXT(AV5,"ddd"),1)</f>
        <v>s</v>
      </c>
      <c r="AW6" s="30" t="str">
        <f>LEFT(TEXT(AW5,"ddd"),1)</f>
        <v>d</v>
      </c>
      <c r="AX6" s="30" t="str">
        <f>LEFT(TEXT(AX5,"ddd"),1)</f>
        <v>s</v>
      </c>
      <c r="AY6" s="30" t="str">
        <f>LEFT(TEXT(AY5,"ddd"),1)</f>
        <v>t</v>
      </c>
      <c r="AZ6" s="30" t="str">
        <f>LEFT(TEXT(AZ5,"ddd"),1)</f>
        <v>q</v>
      </c>
      <c r="BA6" s="30" t="str">
        <f>LEFT(TEXT(BA5,"ddd"),1)</f>
        <v>q</v>
      </c>
      <c r="BB6" s="30" t="str">
        <f>LEFT(TEXT(BB5,"ddd"),1)</f>
        <v>s</v>
      </c>
      <c r="BC6" s="30" t="str">
        <f>LEFT(TEXT(BC5,"ddd"),1)</f>
        <v>s</v>
      </c>
      <c r="BD6" s="30" t="str">
        <f>LEFT(TEXT(BD5,"ddd"),1)</f>
        <v>d</v>
      </c>
      <c r="BE6" s="30" t="str">
        <f>LEFT(TEXT(BE5,"ddd"),1)</f>
        <v>s</v>
      </c>
      <c r="BF6" s="30" t="str">
        <f>LEFT(TEXT(BF5,"ddd"),1)</f>
        <v>t</v>
      </c>
      <c r="BG6" s="30" t="str">
        <f>LEFT(TEXT(BG5,"ddd"),1)</f>
        <v>q</v>
      </c>
      <c r="BH6" s="30" t="str">
        <f>LEFT(TEXT(BH5,"ddd"),1)</f>
        <v>q</v>
      </c>
      <c r="BI6" s="30" t="str">
        <f>LEFT(TEXT(BI5,"ddd"),1)</f>
        <v>s</v>
      </c>
      <c r="BJ6" s="30" t="str">
        <f>LEFT(TEXT(BJ5,"ddd"),1)</f>
        <v>s</v>
      </c>
      <c r="BK6" s="31" t="str">
        <f>LEFT(TEXT(BK5,"ddd"),1)</f>
        <v>d</v>
      </c>
      <c r="BL6" s="30" t="str">
        <f>LEFT(TEXT(BL5,"ddd"),1)</f>
        <v>s</v>
      </c>
      <c r="BM6" s="30" t="str">
        <f>LEFT(TEXT(BM5,"ddd"),1)</f>
        <v>t</v>
      </c>
      <c r="BN6" s="30" t="str">
        <f>LEFT(TEXT(BN5,"ddd"),1)</f>
        <v>q</v>
      </c>
      <c r="BO6" s="30" t="str">
        <f>LEFT(TEXT(BO5,"ddd"),1)</f>
        <v>q</v>
      </c>
      <c r="BP6" s="30" t="str">
        <f>LEFT(TEXT(BP5,"ddd"),1)</f>
        <v>s</v>
      </c>
      <c r="BQ6" s="30" t="str">
        <f>LEFT(TEXT(BQ5,"ddd"),1)</f>
        <v>s</v>
      </c>
      <c r="BR6" s="31" t="str">
        <f>LEFT(TEXT(BR5,"ddd"),1)</f>
        <v>d</v>
      </c>
      <c r="BS6" s="30" t="str">
        <f>LEFT(TEXT(BS5,"ddd"),1)</f>
        <v>s</v>
      </c>
      <c r="BT6" s="30" t="str">
        <f>LEFT(TEXT(BT5,"ddd"),1)</f>
        <v>t</v>
      </c>
      <c r="BU6" s="30" t="str">
        <f>LEFT(TEXT(BU5,"ddd"),1)</f>
        <v>q</v>
      </c>
      <c r="BV6" s="30" t="str">
        <f>LEFT(TEXT(BV5,"ddd"),1)</f>
        <v>q</v>
      </c>
      <c r="BW6" s="30" t="str">
        <f>LEFT(TEXT(BW5,"ddd"),1)</f>
        <v>s</v>
      </c>
      <c r="BX6" s="30" t="str">
        <f>LEFT(TEXT(BX5,"ddd"),1)</f>
        <v>s</v>
      </c>
      <c r="BY6" s="31" t="str">
        <f>LEFT(TEXT(BY5,"ddd"),1)</f>
        <v>d</v>
      </c>
      <c r="BZ6" s="30" t="str">
        <f>LEFT(TEXT(BZ5,"ddd"),1)</f>
        <v>s</v>
      </c>
      <c r="CA6" s="30" t="str">
        <f>LEFT(TEXT(CA5,"ddd"),1)</f>
        <v>t</v>
      </c>
      <c r="CB6" s="30" t="str">
        <f>LEFT(TEXT(CB5,"ddd"),1)</f>
        <v>q</v>
      </c>
      <c r="CC6" s="30" t="str">
        <f>LEFT(TEXT(CC5,"ddd"),1)</f>
        <v>q</v>
      </c>
      <c r="CD6" s="30" t="str">
        <f>LEFT(TEXT(CD5,"ddd"),1)</f>
        <v>s</v>
      </c>
      <c r="CE6" s="30" t="str">
        <f>LEFT(TEXT(CE5,"ddd"),1)</f>
        <v>s</v>
      </c>
      <c r="CF6" s="31" t="str">
        <f>LEFT(TEXT(CF5,"ddd"),1)</f>
        <v>d</v>
      </c>
      <c r="CG6" s="30" t="str">
        <f>LEFT(TEXT(CG5,"ddd"),1)</f>
        <v>s</v>
      </c>
      <c r="CH6" s="30" t="str">
        <f>LEFT(TEXT(CH5,"ddd"),1)</f>
        <v>t</v>
      </c>
      <c r="CI6" s="30" t="str">
        <f>LEFT(TEXT(CI5,"ddd"),1)</f>
        <v>q</v>
      </c>
      <c r="CJ6" s="30" t="str">
        <f>LEFT(TEXT(CJ5,"ddd"),1)</f>
        <v>q</v>
      </c>
      <c r="CK6" s="30" t="str">
        <f>LEFT(TEXT(CK5,"ddd"),1)</f>
        <v>s</v>
      </c>
      <c r="CL6" s="30" t="str">
        <f>LEFT(TEXT(CL5,"ddd"),1)</f>
        <v>s</v>
      </c>
      <c r="CM6" s="31" t="str">
        <f>LEFT(TEXT(CM5,"ddd"),1)</f>
        <v>d</v>
      </c>
      <c r="CN6" s="30" t="str">
        <f>LEFT(TEXT(CN5,"ddd"),1)</f>
        <v>s</v>
      </c>
      <c r="CO6" s="30" t="str">
        <f>LEFT(TEXT(CO5,"ddd"),1)</f>
        <v>t</v>
      </c>
      <c r="CP6" s="30" t="str">
        <f>LEFT(TEXT(CP5,"ddd"),1)</f>
        <v>q</v>
      </c>
      <c r="CQ6" s="30" t="str">
        <f>LEFT(TEXT(CQ5,"ddd"),1)</f>
        <v>q</v>
      </c>
      <c r="CR6" s="30" t="str">
        <f>LEFT(TEXT(CR5,"ddd"),1)</f>
        <v>s</v>
      </c>
      <c r="CS6" s="30" t="str">
        <f>LEFT(TEXT(CS5,"ddd"),1)</f>
        <v>s</v>
      </c>
      <c r="CT6" s="31" t="str">
        <f>LEFT(TEXT(CT5,"ddd"),1)</f>
        <v>d</v>
      </c>
      <c r="CU6" s="30" t="str">
        <f>LEFT(TEXT(CU5,"ddd"),1)</f>
        <v>s</v>
      </c>
      <c r="CV6" s="30" t="str">
        <f>LEFT(TEXT(CV5,"ddd"),1)</f>
        <v>t</v>
      </c>
      <c r="CW6" s="30" t="str">
        <f>LEFT(TEXT(CW5,"ddd"),1)</f>
        <v>q</v>
      </c>
      <c r="CX6" s="30" t="str">
        <f>LEFT(TEXT(CX5,"ddd"),1)</f>
        <v>q</v>
      </c>
      <c r="CY6" s="30" t="str">
        <f>LEFT(TEXT(CY5,"ddd"),1)</f>
        <v>s</v>
      </c>
      <c r="CZ6" s="30" t="str">
        <f>LEFT(TEXT(CZ5,"ddd"),1)</f>
        <v>s</v>
      </c>
      <c r="DA6" s="31" t="str">
        <f>LEFT(TEXT(DA5,"ddd"),1)</f>
        <v>d</v>
      </c>
      <c r="DB6" s="30" t="str">
        <f>LEFT(TEXT(DB5,"ddd"),1)</f>
        <v>s</v>
      </c>
      <c r="DC6" s="30" t="str">
        <f>LEFT(TEXT(DC5,"ddd"),1)</f>
        <v>t</v>
      </c>
      <c r="DD6" s="30" t="str">
        <f>LEFT(TEXT(DD5,"ddd"),1)</f>
        <v>q</v>
      </c>
      <c r="DE6" s="30" t="str">
        <f>LEFT(TEXT(DE5,"ddd"),1)</f>
        <v>q</v>
      </c>
      <c r="DF6" s="30" t="str">
        <f>LEFT(TEXT(DF5,"ddd"),1)</f>
        <v>s</v>
      </c>
      <c r="DG6" s="30" t="str">
        <f>LEFT(TEXT(DG5,"ddd"),1)</f>
        <v>s</v>
      </c>
      <c r="DH6" s="31" t="str">
        <f>LEFT(TEXT(DH5,"ddd"),1)</f>
        <v>d</v>
      </c>
      <c r="DI6" s="30" t="str">
        <f>LEFT(TEXT(DI5,"ddd"),1)</f>
        <v>s</v>
      </c>
      <c r="DJ6" s="30" t="str">
        <f>LEFT(TEXT(DJ5,"ddd"),1)</f>
        <v>t</v>
      </c>
      <c r="DK6" s="30" t="str">
        <f>LEFT(TEXT(DK5,"ddd"),1)</f>
        <v>q</v>
      </c>
      <c r="DL6" s="30" t="str">
        <f>LEFT(TEXT(DL5,"ddd"),1)</f>
        <v>q</v>
      </c>
      <c r="DM6" s="30" t="str">
        <f>LEFT(TEXT(DM5,"ddd"),1)</f>
        <v>s</v>
      </c>
      <c r="DN6" s="30" t="str">
        <f>LEFT(TEXT(DN5,"ddd"),1)</f>
        <v>s</v>
      </c>
      <c r="DO6" s="31" t="str">
        <f>LEFT(TEXT(DO5,"ddd"),1)</f>
        <v>d</v>
      </c>
    </row>
    <row r="7" spans="1:119" s="22" customFormat="1" ht="30" hidden="1" customHeight="1">
      <c r="A7" s="13" t="s">
        <v>8</v>
      </c>
      <c r="B7" s="32"/>
      <c r="C7" s="33"/>
      <c r="D7" s="32"/>
      <c r="E7" s="32"/>
      <c r="G7" s="22" t="str">
        <f ca="1">IF(OR(ISBLANK(task_start),ISBLANK(task_end)),"",task_end-task_start+1)</f>
        <v/>
      </c>
      <c r="H7" s="34"/>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c r="CK7" s="34"/>
      <c r="CL7" s="34"/>
      <c r="CM7" s="34"/>
      <c r="CN7" s="34"/>
      <c r="CO7" s="34"/>
      <c r="CP7" s="34"/>
      <c r="CQ7" s="34"/>
      <c r="CR7" s="34"/>
      <c r="CS7" s="34"/>
      <c r="CT7" s="34"/>
      <c r="CU7" s="34"/>
      <c r="CV7" s="34"/>
      <c r="CW7" s="34"/>
      <c r="CX7" s="34"/>
      <c r="CY7" s="34"/>
      <c r="CZ7" s="34"/>
      <c r="DA7" s="34"/>
      <c r="DB7" s="34"/>
      <c r="DC7" s="34"/>
      <c r="DD7" s="34"/>
      <c r="DE7" s="34"/>
      <c r="DF7" s="34"/>
      <c r="DG7" s="34"/>
      <c r="DH7" s="34"/>
      <c r="DI7" s="34"/>
      <c r="DJ7" s="34"/>
      <c r="DK7" s="34"/>
      <c r="DL7" s="34"/>
      <c r="DM7" s="34"/>
      <c r="DN7" s="34"/>
      <c r="DO7" s="34"/>
    </row>
    <row r="8" spans="1:119" s="36" customFormat="1" ht="30" customHeight="1">
      <c r="A8" s="14"/>
      <c r="B8" s="87" t="s">
        <v>9</v>
      </c>
      <c r="C8" s="88"/>
      <c r="D8" s="89"/>
      <c r="E8" s="89"/>
      <c r="F8" s="17"/>
      <c r="G8" s="5" t="str">
        <f t="shared" ref="G8:G31" ca="1" si="29">IF(OR(ISBLANK(task_start),ISBLANK(task_end)),"",task_end-task_start+1)</f>
        <v/>
      </c>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c r="BS8" s="35"/>
      <c r="BT8" s="35"/>
      <c r="BU8" s="35"/>
      <c r="BV8" s="35"/>
      <c r="BW8" s="35"/>
      <c r="BX8" s="35"/>
      <c r="BY8" s="35"/>
      <c r="BZ8" s="35"/>
      <c r="CA8" s="35"/>
      <c r="CB8" s="35"/>
      <c r="CC8" s="35"/>
      <c r="CD8" s="35"/>
      <c r="CE8" s="35"/>
      <c r="CF8" s="35"/>
      <c r="CG8" s="35"/>
      <c r="CH8" s="35"/>
      <c r="CI8" s="35"/>
      <c r="CJ8" s="35"/>
      <c r="CK8" s="35"/>
      <c r="CL8" s="35"/>
      <c r="CM8" s="35"/>
      <c r="CN8" s="35"/>
      <c r="CO8" s="35"/>
      <c r="CP8" s="35"/>
      <c r="CQ8" s="35"/>
      <c r="CR8" s="35"/>
      <c r="CS8" s="35"/>
      <c r="CT8" s="35"/>
      <c r="CU8" s="35"/>
      <c r="CV8" s="35"/>
      <c r="CW8" s="35"/>
      <c r="CX8" s="35"/>
      <c r="CY8" s="35"/>
      <c r="CZ8" s="35"/>
      <c r="DA8" s="35"/>
      <c r="DB8" s="35"/>
      <c r="DC8" s="35"/>
      <c r="DD8" s="35"/>
      <c r="DE8" s="35"/>
      <c r="DF8" s="35"/>
      <c r="DG8" s="35"/>
      <c r="DH8" s="35"/>
      <c r="DI8" s="35"/>
      <c r="DJ8" s="35"/>
      <c r="DK8" s="35"/>
      <c r="DL8" s="35"/>
      <c r="DM8" s="35"/>
      <c r="DN8" s="35"/>
      <c r="DO8" s="35"/>
    </row>
    <row r="9" spans="1:119" s="36" customFormat="1" ht="30" customHeight="1">
      <c r="A9" s="14"/>
      <c r="B9" s="90" t="s">
        <v>10</v>
      </c>
      <c r="C9" s="91" t="s">
        <v>11</v>
      </c>
      <c r="D9" s="92">
        <f>Project_Start</f>
        <v>46062</v>
      </c>
      <c r="E9" s="92">
        <v>46083</v>
      </c>
      <c r="F9" s="17"/>
      <c r="G9" s="5">
        <f t="shared" ca="1" si="29"/>
        <v>22</v>
      </c>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row>
    <row r="10" spans="1:119" s="36" customFormat="1" ht="30" customHeight="1">
      <c r="A10" s="14"/>
      <c r="B10" s="90" t="s">
        <v>12</v>
      </c>
      <c r="C10" s="91" t="s">
        <v>13</v>
      </c>
      <c r="D10" s="92">
        <f>Project_Start</f>
        <v>46062</v>
      </c>
      <c r="E10" s="92">
        <v>46083</v>
      </c>
      <c r="F10" s="17"/>
      <c r="G10" s="5">
        <f t="shared" ca="1" si="29"/>
        <v>22</v>
      </c>
      <c r="H10" s="37"/>
      <c r="I10" s="37"/>
      <c r="J10" s="37"/>
      <c r="K10" s="37"/>
      <c r="L10" s="37"/>
      <c r="M10" s="37"/>
      <c r="N10" s="37"/>
      <c r="O10" s="37"/>
      <c r="P10" s="37"/>
      <c r="Q10" s="37"/>
      <c r="R10" s="37"/>
      <c r="S10" s="37"/>
      <c r="T10" s="38"/>
      <c r="U10" s="38"/>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row>
    <row r="11" spans="1:119" s="36" customFormat="1" ht="30" customHeight="1">
      <c r="A11" s="13"/>
      <c r="B11" s="90" t="s">
        <v>14</v>
      </c>
      <c r="C11" s="91" t="s">
        <v>15</v>
      </c>
      <c r="D11" s="92">
        <f>Project_Start</f>
        <v>46062</v>
      </c>
      <c r="E11" s="92">
        <v>46083</v>
      </c>
      <c r="F11" s="17"/>
      <c r="G11" s="5">
        <f t="shared" ca="1" si="29"/>
        <v>22</v>
      </c>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row>
    <row r="12" spans="1:119" s="36" customFormat="1" ht="30" customHeight="1">
      <c r="A12" s="13"/>
      <c r="B12" s="90" t="s">
        <v>16</v>
      </c>
      <c r="C12" s="91" t="s">
        <v>17</v>
      </c>
      <c r="D12" s="92">
        <f>Project_Start</f>
        <v>46062</v>
      </c>
      <c r="E12" s="92">
        <v>46083</v>
      </c>
      <c r="F12" s="17"/>
      <c r="G12" s="5">
        <f t="shared" ca="1" si="29"/>
        <v>22</v>
      </c>
      <c r="H12" s="37"/>
      <c r="I12" s="37"/>
      <c r="J12" s="37"/>
      <c r="K12" s="37"/>
      <c r="L12" s="37"/>
      <c r="M12" s="37"/>
      <c r="N12" s="37"/>
      <c r="O12" s="37"/>
      <c r="P12" s="37"/>
      <c r="Q12" s="37"/>
      <c r="R12" s="37"/>
      <c r="S12" s="37"/>
      <c r="T12" s="37"/>
      <c r="U12" s="37"/>
      <c r="V12" s="37"/>
      <c r="W12" s="37"/>
      <c r="X12" s="38"/>
      <c r="Y12" s="37"/>
      <c r="Z12" s="37"/>
      <c r="AA12" s="37"/>
      <c r="AB12" s="37"/>
      <c r="AC12" s="37"/>
      <c r="AD12" s="37"/>
      <c r="AE12" s="37"/>
      <c r="AF12" s="37"/>
      <c r="AG12" s="37"/>
      <c r="AH12" s="37"/>
      <c r="AI12" s="37"/>
      <c r="AJ12" s="37"/>
      <c r="AK12" s="37"/>
      <c r="AL12" s="37"/>
      <c r="AM12" s="37"/>
      <c r="AN12" s="37"/>
      <c r="AO12" s="37"/>
      <c r="AP12" s="37"/>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row>
    <row r="13" spans="1:119" s="36" customFormat="1" ht="30" customHeight="1">
      <c r="A13" s="13"/>
      <c r="B13" s="90" t="s">
        <v>18</v>
      </c>
      <c r="C13" s="91" t="s">
        <v>19</v>
      </c>
      <c r="D13" s="92">
        <f>Project_Start</f>
        <v>46062</v>
      </c>
      <c r="E13" s="92">
        <v>46083</v>
      </c>
      <c r="F13" s="17"/>
      <c r="G13" s="5">
        <f t="shared" ca="1" si="29"/>
        <v>22</v>
      </c>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7"/>
      <c r="AZ13" s="37"/>
      <c r="BA13" s="37"/>
      <c r="BB13" s="37"/>
      <c r="BC13" s="37"/>
      <c r="BD13" s="37"/>
      <c r="BE13" s="37"/>
      <c r="BF13" s="37"/>
      <c r="BG13" s="37"/>
      <c r="BH13" s="37"/>
      <c r="BI13" s="37"/>
      <c r="BJ13" s="37"/>
      <c r="BK13" s="37"/>
      <c r="BL13" s="37"/>
      <c r="BM13" s="37"/>
      <c r="BN13" s="37"/>
      <c r="BO13" s="37"/>
      <c r="BP13" s="37"/>
      <c r="BQ13" s="37"/>
      <c r="BR13" s="37"/>
      <c r="BS13" s="37"/>
      <c r="BT13" s="37"/>
      <c r="BU13" s="37"/>
      <c r="BV13" s="37"/>
      <c r="BW13" s="37"/>
      <c r="BX13" s="37"/>
      <c r="BY13" s="37"/>
      <c r="BZ13" s="37"/>
      <c r="CA13" s="37"/>
      <c r="CB13" s="37"/>
      <c r="CC13" s="37"/>
      <c r="CD13" s="37"/>
      <c r="CE13" s="37"/>
      <c r="CF13" s="37"/>
      <c r="CG13" s="37"/>
      <c r="CH13" s="37"/>
      <c r="CI13" s="37"/>
      <c r="CJ13" s="37"/>
      <c r="CK13" s="37"/>
      <c r="CL13" s="37"/>
      <c r="CM13" s="37"/>
      <c r="CN13" s="37"/>
      <c r="CO13" s="37"/>
      <c r="CP13" s="37"/>
      <c r="CQ13" s="37"/>
      <c r="CR13" s="37"/>
      <c r="CS13" s="37"/>
      <c r="CT13" s="37"/>
      <c r="CU13" s="37"/>
      <c r="CV13" s="37"/>
      <c r="CW13" s="37"/>
      <c r="CX13" s="37"/>
      <c r="CY13" s="37"/>
      <c r="CZ13" s="37"/>
      <c r="DA13" s="37"/>
      <c r="DB13" s="37"/>
      <c r="DC13" s="37"/>
      <c r="DD13" s="37"/>
      <c r="DE13" s="37"/>
      <c r="DF13" s="37"/>
      <c r="DG13" s="37"/>
      <c r="DH13" s="37"/>
      <c r="DI13" s="37"/>
      <c r="DJ13" s="37"/>
      <c r="DK13" s="37"/>
      <c r="DL13" s="37"/>
      <c r="DM13" s="37"/>
      <c r="DN13" s="37"/>
      <c r="DO13" s="37"/>
    </row>
    <row r="14" spans="1:119" s="36" customFormat="1" ht="30" customHeight="1">
      <c r="A14" s="13"/>
      <c r="B14" s="90" t="s">
        <v>20</v>
      </c>
      <c r="C14" s="91" t="s">
        <v>11</v>
      </c>
      <c r="D14" s="92">
        <f>Project_Start</f>
        <v>46062</v>
      </c>
      <c r="E14" s="92">
        <v>46083</v>
      </c>
      <c r="F14" s="17"/>
      <c r="G14" s="5"/>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7"/>
      <c r="AG14" s="37"/>
      <c r="AH14" s="37"/>
      <c r="AI14" s="37"/>
      <c r="AJ14" s="37"/>
      <c r="AK14" s="37"/>
      <c r="AL14" s="37"/>
      <c r="AM14" s="37"/>
      <c r="AN14" s="37"/>
      <c r="AO14" s="37"/>
      <c r="AP14" s="37"/>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row>
    <row r="15" spans="1:119" s="36" customFormat="1" ht="30" customHeight="1">
      <c r="A15" s="14"/>
      <c r="B15" s="73" t="s">
        <v>21</v>
      </c>
      <c r="C15" s="74"/>
      <c r="D15" s="75"/>
      <c r="E15" s="76"/>
      <c r="F15" s="17"/>
      <c r="G15" s="5" t="str">
        <f t="shared" ca="1" si="29"/>
        <v/>
      </c>
    </row>
    <row r="16" spans="1:119" s="36" customFormat="1" ht="30" customHeight="1">
      <c r="A16" s="14"/>
      <c r="B16" s="77" t="s">
        <v>22</v>
      </c>
      <c r="C16" s="78" t="s">
        <v>13</v>
      </c>
      <c r="D16" s="79">
        <v>46083</v>
      </c>
      <c r="E16" s="79">
        <v>46104</v>
      </c>
      <c r="F16" s="17"/>
      <c r="G16" s="5">
        <f t="shared" ca="1" si="29"/>
        <v>22</v>
      </c>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7"/>
      <c r="AY16" s="37"/>
      <c r="AZ16" s="37"/>
      <c r="BA16" s="37"/>
      <c r="BB16" s="37"/>
      <c r="BC16" s="37"/>
      <c r="BD16" s="37"/>
      <c r="BE16" s="37"/>
      <c r="BF16" s="37"/>
      <c r="BG16" s="37"/>
      <c r="BH16" s="37"/>
      <c r="BI16" s="37"/>
      <c r="BJ16" s="37"/>
      <c r="BK16" s="37"/>
      <c r="BL16" s="37"/>
      <c r="BM16" s="37"/>
      <c r="BN16" s="37"/>
      <c r="BO16" s="37"/>
      <c r="BP16" s="37"/>
      <c r="BQ16" s="37"/>
      <c r="BR16" s="37"/>
      <c r="BS16" s="37"/>
      <c r="BT16" s="37"/>
      <c r="BU16" s="37"/>
      <c r="BV16" s="37"/>
      <c r="BW16" s="37"/>
      <c r="BX16" s="37"/>
      <c r="BY16" s="37"/>
      <c r="BZ16" s="37"/>
      <c r="CA16" s="37"/>
      <c r="CB16" s="37"/>
      <c r="CC16" s="37"/>
      <c r="CD16" s="37"/>
      <c r="CE16" s="37"/>
      <c r="CF16" s="37"/>
      <c r="CG16" s="37"/>
      <c r="CH16" s="37"/>
      <c r="CI16" s="37"/>
      <c r="CJ16" s="37"/>
      <c r="CK16" s="37"/>
      <c r="CL16" s="37"/>
      <c r="CM16" s="37"/>
      <c r="CN16" s="37"/>
      <c r="CO16" s="37"/>
      <c r="CP16" s="37"/>
      <c r="CQ16" s="37"/>
      <c r="CR16" s="37"/>
      <c r="CS16" s="37"/>
      <c r="CT16" s="37"/>
      <c r="CU16" s="37"/>
      <c r="CV16" s="37"/>
      <c r="CW16" s="37"/>
      <c r="CX16" s="37"/>
      <c r="CY16" s="37"/>
      <c r="CZ16" s="37"/>
      <c r="DA16" s="37"/>
      <c r="DB16" s="37"/>
      <c r="DC16" s="37"/>
      <c r="DD16" s="37"/>
      <c r="DE16" s="37"/>
      <c r="DF16" s="37"/>
      <c r="DG16" s="37"/>
      <c r="DH16" s="37"/>
      <c r="DI16" s="37"/>
      <c r="DJ16" s="37"/>
      <c r="DK16" s="37"/>
      <c r="DL16" s="37"/>
      <c r="DM16" s="37"/>
      <c r="DN16" s="37"/>
      <c r="DO16" s="37"/>
    </row>
    <row r="17" spans="1:119" s="36" customFormat="1" ht="30" customHeight="1">
      <c r="A17" s="13"/>
      <c r="B17" s="77" t="s">
        <v>23</v>
      </c>
      <c r="C17" s="78" t="s">
        <v>15</v>
      </c>
      <c r="D17" s="79">
        <v>46083</v>
      </c>
      <c r="E17" s="79">
        <v>46104</v>
      </c>
      <c r="F17" s="17"/>
      <c r="G17" s="5">
        <f t="shared" ca="1" si="29"/>
        <v>22</v>
      </c>
      <c r="H17" s="37"/>
      <c r="I17" s="37"/>
      <c r="J17" s="37"/>
      <c r="K17" s="37"/>
      <c r="L17" s="37"/>
      <c r="M17" s="37"/>
      <c r="N17" s="37"/>
      <c r="O17" s="37"/>
      <c r="P17" s="37"/>
      <c r="Q17" s="37"/>
      <c r="R17" s="37"/>
      <c r="S17" s="37"/>
      <c r="T17" s="38"/>
      <c r="U17" s="38"/>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row>
    <row r="18" spans="1:119" s="36" customFormat="1" ht="30" customHeight="1">
      <c r="A18" s="13"/>
      <c r="B18" s="77" t="s">
        <v>24</v>
      </c>
      <c r="C18" s="78" t="s">
        <v>17</v>
      </c>
      <c r="D18" s="79">
        <v>46083</v>
      </c>
      <c r="E18" s="79">
        <v>46104</v>
      </c>
      <c r="F18" s="17"/>
      <c r="G18" s="5">
        <f t="shared" ca="1" si="29"/>
        <v>22</v>
      </c>
      <c r="H18" s="37"/>
      <c r="I18" s="37"/>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row>
    <row r="19" spans="1:119" s="36" customFormat="1" ht="30" customHeight="1">
      <c r="A19" s="13"/>
      <c r="B19" s="77" t="s">
        <v>25</v>
      </c>
      <c r="C19" s="78" t="s">
        <v>19</v>
      </c>
      <c r="D19" s="79">
        <v>46083</v>
      </c>
      <c r="E19" s="79">
        <v>46104</v>
      </c>
      <c r="F19" s="17"/>
      <c r="G19" s="5">
        <f t="shared" ca="1" si="29"/>
        <v>22</v>
      </c>
      <c r="H19" s="37"/>
      <c r="I19" s="37"/>
      <c r="J19" s="37"/>
      <c r="K19" s="37"/>
      <c r="L19" s="37"/>
      <c r="M19" s="37"/>
      <c r="N19" s="37"/>
      <c r="O19" s="37"/>
      <c r="P19" s="37"/>
      <c r="Q19" s="37"/>
      <c r="R19" s="37"/>
      <c r="S19" s="37"/>
      <c r="T19" s="37"/>
      <c r="U19" s="37"/>
      <c r="V19" s="37"/>
      <c r="W19" s="37"/>
      <c r="X19" s="38"/>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c r="CA19" s="37"/>
      <c r="CB19" s="37"/>
      <c r="CC19" s="37"/>
      <c r="CD19" s="37"/>
      <c r="CE19" s="37"/>
      <c r="CF19" s="37"/>
      <c r="CG19" s="37"/>
      <c r="CH19" s="37"/>
      <c r="CI19" s="37"/>
      <c r="CJ19" s="37"/>
      <c r="CK19" s="37"/>
      <c r="CL19" s="37"/>
      <c r="CM19" s="37"/>
      <c r="CN19" s="37"/>
      <c r="CO19" s="37"/>
      <c r="CP19" s="37"/>
      <c r="CQ19" s="37"/>
      <c r="CR19" s="37"/>
      <c r="CS19" s="37"/>
      <c r="CT19" s="37"/>
      <c r="CU19" s="37"/>
      <c r="CV19" s="37"/>
      <c r="CW19" s="37"/>
      <c r="CX19" s="37"/>
      <c r="CY19" s="37"/>
      <c r="CZ19" s="37"/>
      <c r="DA19" s="37"/>
      <c r="DB19" s="37"/>
      <c r="DC19" s="37"/>
      <c r="DD19" s="37"/>
      <c r="DE19" s="37"/>
      <c r="DF19" s="37"/>
      <c r="DG19" s="37"/>
      <c r="DH19" s="37"/>
      <c r="DI19" s="37"/>
      <c r="DJ19" s="37"/>
      <c r="DK19" s="37"/>
      <c r="DL19" s="37"/>
      <c r="DM19" s="37"/>
      <c r="DN19" s="37"/>
      <c r="DO19" s="37"/>
    </row>
    <row r="20" spans="1:119" s="36" customFormat="1" ht="30" customHeight="1">
      <c r="A20" s="13"/>
      <c r="B20" s="80" t="s">
        <v>26</v>
      </c>
      <c r="C20" s="81"/>
      <c r="D20" s="82"/>
      <c r="E20" s="83"/>
      <c r="F20" s="17"/>
      <c r="G20" s="5" t="str">
        <f t="shared" ca="1" si="29"/>
        <v/>
      </c>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39"/>
      <c r="AZ20" s="39"/>
      <c r="BA20" s="39"/>
      <c r="BB20" s="39"/>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c r="CD20" s="39"/>
      <c r="CE20" s="39"/>
      <c r="CF20" s="39"/>
      <c r="CG20" s="39"/>
      <c r="CH20" s="39"/>
      <c r="CI20" s="39"/>
      <c r="CJ20" s="39"/>
      <c r="CK20" s="39"/>
      <c r="CL20" s="39"/>
      <c r="CM20" s="39"/>
      <c r="CN20" s="39"/>
      <c r="CO20" s="39"/>
      <c r="CP20" s="39"/>
      <c r="CQ20" s="39"/>
      <c r="CR20" s="39"/>
      <c r="CS20" s="39"/>
      <c r="CT20" s="39"/>
      <c r="CU20" s="39"/>
      <c r="CV20" s="39"/>
      <c r="CW20" s="39"/>
      <c r="CX20" s="39"/>
      <c r="CY20" s="39"/>
      <c r="CZ20" s="39"/>
      <c r="DA20" s="39"/>
      <c r="DB20" s="39"/>
      <c r="DC20" s="39"/>
      <c r="DD20" s="39"/>
      <c r="DE20" s="39"/>
      <c r="DF20" s="39"/>
      <c r="DG20" s="39"/>
      <c r="DH20" s="39"/>
      <c r="DI20" s="39"/>
      <c r="DJ20" s="39"/>
      <c r="DK20" s="39"/>
      <c r="DL20" s="39"/>
      <c r="DM20" s="39"/>
      <c r="DN20" s="39"/>
      <c r="DO20" s="39"/>
    </row>
    <row r="21" spans="1:119" s="36" customFormat="1" ht="30" customHeight="1">
      <c r="A21" s="13"/>
      <c r="B21" s="84" t="s">
        <v>27</v>
      </c>
      <c r="C21" s="85" t="s">
        <v>11</v>
      </c>
      <c r="D21" s="86">
        <v>46104</v>
      </c>
      <c r="E21" s="86">
        <v>46125</v>
      </c>
      <c r="F21" s="17"/>
      <c r="G21" s="5">
        <f t="shared" ca="1" si="29"/>
        <v>22</v>
      </c>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c r="CA21" s="37"/>
      <c r="CB21" s="37"/>
      <c r="CC21" s="37"/>
      <c r="CD21" s="37"/>
      <c r="CE21" s="37"/>
      <c r="CF21" s="37"/>
      <c r="CG21" s="37"/>
      <c r="CH21" s="37"/>
      <c r="CI21" s="37"/>
      <c r="CJ21" s="37"/>
      <c r="CK21" s="37"/>
      <c r="CL21" s="37"/>
      <c r="CM21" s="37"/>
      <c r="CN21" s="37"/>
      <c r="CO21" s="37"/>
      <c r="CP21" s="37"/>
      <c r="CQ21" s="37"/>
      <c r="CR21" s="37"/>
      <c r="CS21" s="37"/>
      <c r="CT21" s="37"/>
      <c r="CU21" s="37"/>
      <c r="CV21" s="37"/>
      <c r="CW21" s="37"/>
      <c r="CX21" s="37"/>
      <c r="CY21" s="37"/>
      <c r="CZ21" s="37"/>
      <c r="DA21" s="37"/>
      <c r="DB21" s="37"/>
      <c r="DC21" s="37"/>
      <c r="DD21" s="37"/>
      <c r="DE21" s="37"/>
      <c r="DF21" s="37"/>
      <c r="DG21" s="37"/>
      <c r="DH21" s="37"/>
      <c r="DI21" s="37"/>
      <c r="DJ21" s="37"/>
      <c r="DK21" s="37"/>
      <c r="DL21" s="37"/>
      <c r="DM21" s="37"/>
      <c r="DN21" s="37"/>
      <c r="DO21" s="37"/>
    </row>
    <row r="22" spans="1:119" s="36" customFormat="1" ht="30" customHeight="1">
      <c r="A22" s="13"/>
      <c r="B22" s="84" t="s">
        <v>28</v>
      </c>
      <c r="C22" s="85" t="s">
        <v>13</v>
      </c>
      <c r="D22" s="86">
        <v>46104</v>
      </c>
      <c r="E22" s="86">
        <v>46125</v>
      </c>
      <c r="F22" s="17"/>
      <c r="G22" s="5">
        <f t="shared" ca="1" si="29"/>
        <v>22</v>
      </c>
      <c r="H22" s="37"/>
      <c r="I22" s="37"/>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c r="CA22" s="37"/>
      <c r="CB22" s="37"/>
      <c r="CC22" s="37"/>
      <c r="CD22" s="37"/>
      <c r="CE22" s="37"/>
      <c r="CF22" s="37"/>
      <c r="CG22" s="37"/>
      <c r="CH22" s="37"/>
      <c r="CI22" s="37"/>
      <c r="CJ22" s="37"/>
      <c r="CK22" s="37"/>
      <c r="CL22" s="37"/>
      <c r="CM22" s="37"/>
      <c r="CN22" s="37"/>
      <c r="CO22" s="37"/>
      <c r="CP22" s="37"/>
      <c r="CQ22" s="37"/>
      <c r="CR22" s="37"/>
      <c r="CS22" s="37"/>
      <c r="CT22" s="37"/>
      <c r="CU22" s="37"/>
      <c r="CV22" s="37"/>
      <c r="CW22" s="37"/>
      <c r="CX22" s="37"/>
      <c r="CY22" s="37"/>
      <c r="CZ22" s="37"/>
      <c r="DA22" s="37"/>
      <c r="DB22" s="37"/>
      <c r="DC22" s="37"/>
      <c r="DD22" s="37"/>
      <c r="DE22" s="37"/>
      <c r="DF22" s="37"/>
      <c r="DG22" s="37"/>
      <c r="DH22" s="37"/>
      <c r="DI22" s="37"/>
      <c r="DJ22" s="37"/>
      <c r="DK22" s="37"/>
      <c r="DL22" s="37"/>
      <c r="DM22" s="37"/>
      <c r="DN22" s="37"/>
      <c r="DO22" s="37"/>
    </row>
    <row r="23" spans="1:119" s="36" customFormat="1" ht="30" customHeight="1">
      <c r="A23" s="13"/>
      <c r="B23" s="84" t="s">
        <v>29</v>
      </c>
      <c r="C23" s="85" t="s">
        <v>15</v>
      </c>
      <c r="D23" s="86">
        <v>46104</v>
      </c>
      <c r="E23" s="86">
        <v>46125</v>
      </c>
      <c r="F23" s="17"/>
      <c r="G23" s="5">
        <f t="shared" ca="1" si="29"/>
        <v>22</v>
      </c>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c r="CA23" s="37"/>
      <c r="CB23" s="37"/>
      <c r="CC23" s="37"/>
      <c r="CD23" s="37"/>
      <c r="CE23" s="37"/>
      <c r="CF23" s="37"/>
      <c r="CG23" s="37"/>
      <c r="CH23" s="37"/>
      <c r="CI23" s="37"/>
      <c r="CJ23" s="37"/>
      <c r="CK23" s="37"/>
      <c r="CL23" s="37"/>
      <c r="CM23" s="37"/>
      <c r="CN23" s="37"/>
      <c r="CO23" s="37"/>
      <c r="CP23" s="37"/>
      <c r="CQ23" s="37"/>
      <c r="CR23" s="37"/>
      <c r="CS23" s="37"/>
      <c r="CT23" s="37"/>
      <c r="CU23" s="37"/>
      <c r="CV23" s="37"/>
      <c r="CW23" s="37"/>
      <c r="CX23" s="37"/>
      <c r="CY23" s="37"/>
      <c r="CZ23" s="37"/>
      <c r="DA23" s="37"/>
      <c r="DB23" s="37"/>
      <c r="DC23" s="37"/>
      <c r="DD23" s="37"/>
      <c r="DE23" s="37"/>
      <c r="DF23" s="37"/>
      <c r="DG23" s="37"/>
      <c r="DH23" s="37"/>
      <c r="DI23" s="37"/>
      <c r="DJ23" s="37"/>
      <c r="DK23" s="37"/>
      <c r="DL23" s="37"/>
      <c r="DM23" s="37"/>
      <c r="DN23" s="37"/>
      <c r="DO23" s="37"/>
    </row>
    <row r="24" spans="1:119" s="36" customFormat="1" ht="30" customHeight="1">
      <c r="A24" s="13"/>
      <c r="B24" s="84" t="s">
        <v>30</v>
      </c>
      <c r="C24" s="85" t="s">
        <v>17</v>
      </c>
      <c r="D24" s="86">
        <v>46104</v>
      </c>
      <c r="E24" s="86">
        <v>46125</v>
      </c>
      <c r="F24" s="17"/>
      <c r="G24" s="5">
        <f t="shared" ca="1" si="29"/>
        <v>22</v>
      </c>
      <c r="H24" s="37"/>
      <c r="I24" s="3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c r="CS24" s="37"/>
      <c r="CT24" s="37"/>
      <c r="CU24" s="37"/>
      <c r="CV24" s="37"/>
      <c r="CW24" s="37"/>
      <c r="CX24" s="37"/>
      <c r="CY24" s="37"/>
      <c r="CZ24" s="37"/>
      <c r="DA24" s="37"/>
      <c r="DB24" s="37"/>
      <c r="DC24" s="37"/>
      <c r="DD24" s="37"/>
      <c r="DE24" s="37"/>
      <c r="DF24" s="37"/>
      <c r="DG24" s="37"/>
      <c r="DH24" s="37"/>
      <c r="DI24" s="37"/>
      <c r="DJ24" s="37"/>
      <c r="DK24" s="37"/>
      <c r="DL24" s="37"/>
      <c r="DM24" s="37"/>
      <c r="DN24" s="37"/>
      <c r="DO24" s="37"/>
    </row>
    <row r="25" spans="1:119" s="36" customFormat="1" ht="30" customHeight="1">
      <c r="A25" s="13"/>
      <c r="B25" s="84" t="s">
        <v>31</v>
      </c>
      <c r="C25" s="85" t="s">
        <v>19</v>
      </c>
      <c r="D25" s="86">
        <v>46104</v>
      </c>
      <c r="E25" s="86">
        <v>46125</v>
      </c>
      <c r="F25" s="17"/>
      <c r="G25" s="5">
        <f t="shared" ca="1" si="29"/>
        <v>22</v>
      </c>
      <c r="H25" s="37"/>
      <c r="I25" s="3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c r="CS25" s="37"/>
      <c r="CT25" s="37"/>
      <c r="CU25" s="37"/>
      <c r="CV25" s="37"/>
      <c r="CW25" s="37"/>
      <c r="CX25" s="37"/>
      <c r="CY25" s="37"/>
      <c r="CZ25" s="37"/>
      <c r="DA25" s="37"/>
      <c r="DB25" s="37"/>
      <c r="DC25" s="37"/>
      <c r="DD25" s="37"/>
      <c r="DE25" s="37"/>
      <c r="DF25" s="37"/>
      <c r="DG25" s="37"/>
      <c r="DH25" s="37"/>
      <c r="DI25" s="37"/>
      <c r="DJ25" s="37"/>
      <c r="DK25" s="37"/>
      <c r="DL25" s="37"/>
      <c r="DM25" s="37"/>
      <c r="DN25" s="37"/>
      <c r="DO25" s="37"/>
    </row>
    <row r="26" spans="1:119" s="36" customFormat="1" ht="30" customHeight="1">
      <c r="A26" s="13"/>
      <c r="B26" s="93" t="s">
        <v>32</v>
      </c>
      <c r="C26" s="94"/>
      <c r="D26" s="95"/>
      <c r="E26" s="96"/>
      <c r="F26" s="17"/>
      <c r="G26" s="5" t="str">
        <f t="shared" ca="1" si="29"/>
        <v/>
      </c>
      <c r="H26" s="40"/>
      <c r="I26" s="40"/>
      <c r="J26" s="40"/>
      <c r="K26" s="40"/>
      <c r="L26" s="40"/>
      <c r="M26" s="40"/>
      <c r="N26" s="40"/>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row>
    <row r="27" spans="1:119" s="36" customFormat="1" ht="30" customHeight="1">
      <c r="A27" s="13"/>
      <c r="B27" s="41" t="s">
        <v>33</v>
      </c>
      <c r="C27" s="42" t="s">
        <v>11</v>
      </c>
      <c r="D27" s="43">
        <v>46125</v>
      </c>
      <c r="E27" s="43">
        <v>46153</v>
      </c>
      <c r="F27" s="17"/>
      <c r="G27" s="5">
        <f t="shared" ca="1" si="29"/>
        <v>29</v>
      </c>
      <c r="H27" s="37"/>
      <c r="I27" s="37"/>
      <c r="J27" s="37"/>
      <c r="K27" s="37"/>
      <c r="L27" s="37"/>
      <c r="M27" s="37"/>
      <c r="N27" s="37"/>
      <c r="O27" s="37"/>
      <c r="P27" s="37"/>
      <c r="Q27" s="37"/>
      <c r="R27" s="37"/>
      <c r="S27" s="37"/>
      <c r="T27" s="37"/>
      <c r="U27" s="37"/>
      <c r="V27" s="37"/>
      <c r="W27" s="37"/>
      <c r="X27" s="37"/>
      <c r="Y27" s="37"/>
      <c r="Z27" s="37"/>
      <c r="AA27" s="37"/>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7"/>
      <c r="BQ27" s="37"/>
      <c r="BR27" s="37"/>
      <c r="BS27" s="37"/>
      <c r="BT27" s="37"/>
      <c r="BU27" s="37"/>
      <c r="BV27" s="37"/>
      <c r="BW27" s="37"/>
      <c r="BX27" s="37"/>
      <c r="BY27" s="37"/>
      <c r="BZ27" s="37"/>
      <c r="CA27" s="37"/>
      <c r="CB27" s="37"/>
      <c r="CC27" s="37"/>
      <c r="CD27" s="37"/>
      <c r="CE27" s="37"/>
      <c r="CF27" s="37"/>
      <c r="CG27" s="37"/>
      <c r="CH27" s="37"/>
      <c r="CI27" s="37"/>
      <c r="CJ27" s="37"/>
      <c r="CK27" s="37"/>
      <c r="CL27" s="37"/>
      <c r="CM27" s="37"/>
      <c r="CN27" s="37"/>
      <c r="CO27" s="37"/>
      <c r="CP27" s="37"/>
      <c r="CQ27" s="37"/>
      <c r="CR27" s="37"/>
      <c r="CS27" s="37"/>
      <c r="CT27" s="37"/>
      <c r="CU27" s="37"/>
      <c r="CV27" s="37"/>
      <c r="CW27" s="37"/>
      <c r="CX27" s="37"/>
      <c r="CY27" s="37"/>
      <c r="CZ27" s="37"/>
      <c r="DA27" s="37"/>
      <c r="DB27" s="37"/>
      <c r="DC27" s="37"/>
      <c r="DD27" s="37"/>
      <c r="DE27" s="37"/>
      <c r="DF27" s="37"/>
      <c r="DG27" s="37"/>
      <c r="DH27" s="37"/>
      <c r="DI27" s="37"/>
      <c r="DJ27" s="37"/>
      <c r="DK27" s="37"/>
      <c r="DL27" s="37"/>
      <c r="DM27" s="37"/>
      <c r="DN27" s="37"/>
      <c r="DO27" s="37"/>
    </row>
    <row r="28" spans="1:119" s="36" customFormat="1" ht="30" customHeight="1">
      <c r="A28" s="13"/>
      <c r="B28" s="41" t="s">
        <v>34</v>
      </c>
      <c r="C28" s="42" t="s">
        <v>13</v>
      </c>
      <c r="D28" s="43">
        <v>46125</v>
      </c>
      <c r="E28" s="43">
        <v>46153</v>
      </c>
      <c r="F28" s="17"/>
      <c r="G28" s="5">
        <f t="shared" ca="1" si="29"/>
        <v>29</v>
      </c>
      <c r="H28" s="37"/>
      <c r="I28" s="37"/>
      <c r="J28" s="37"/>
      <c r="K28" s="37"/>
      <c r="L28" s="37"/>
      <c r="M28" s="37"/>
      <c r="N28" s="37"/>
      <c r="O28" s="37"/>
      <c r="P28" s="37"/>
      <c r="Q28" s="37"/>
      <c r="R28" s="37"/>
      <c r="S28" s="37"/>
      <c r="T28" s="37"/>
      <c r="U28" s="37"/>
      <c r="V28" s="37"/>
      <c r="W28" s="37"/>
      <c r="X28" s="37"/>
      <c r="Y28" s="37"/>
      <c r="Z28" s="37"/>
      <c r="AA28" s="37"/>
      <c r="AB28" s="37"/>
      <c r="AC28" s="37"/>
      <c r="AD28" s="37"/>
      <c r="AE28" s="37"/>
      <c r="AF28" s="37"/>
      <c r="AG28" s="37"/>
      <c r="AH28" s="37"/>
      <c r="AI28" s="37"/>
      <c r="AJ28" s="37"/>
      <c r="AK28" s="37"/>
      <c r="AL28" s="37"/>
      <c r="AM28" s="37"/>
      <c r="AN28" s="37"/>
      <c r="AO28" s="37"/>
      <c r="AP28" s="37"/>
      <c r="AQ28" s="37"/>
      <c r="AR28" s="37"/>
      <c r="AS28" s="37"/>
      <c r="AT28" s="37"/>
      <c r="AU28" s="37"/>
      <c r="AV28" s="37"/>
      <c r="AW28" s="37"/>
      <c r="AX28" s="37"/>
      <c r="AY28" s="37"/>
      <c r="AZ28" s="37"/>
      <c r="BA28" s="37"/>
      <c r="BB28" s="37"/>
      <c r="BC28" s="37"/>
      <c r="BD28" s="37"/>
      <c r="BE28" s="37"/>
      <c r="BF28" s="37"/>
      <c r="BG28" s="37"/>
      <c r="BH28" s="37"/>
      <c r="BI28" s="37"/>
      <c r="BJ28" s="37"/>
      <c r="BK28" s="37"/>
      <c r="BL28" s="37"/>
      <c r="BM28" s="37"/>
      <c r="BN28" s="37"/>
      <c r="BO28" s="37"/>
      <c r="BP28" s="37"/>
      <c r="BQ28" s="37"/>
      <c r="BR28" s="37"/>
      <c r="BS28" s="37"/>
      <c r="BT28" s="37"/>
      <c r="BU28" s="37"/>
      <c r="BV28" s="37"/>
      <c r="BW28" s="37"/>
      <c r="BX28" s="37"/>
      <c r="BY28" s="37"/>
      <c r="BZ28" s="37"/>
      <c r="CA28" s="37"/>
      <c r="CB28" s="37"/>
      <c r="CC28" s="37"/>
      <c r="CD28" s="37"/>
      <c r="CE28" s="37"/>
      <c r="CF28" s="37"/>
      <c r="CG28" s="37"/>
      <c r="CH28" s="37"/>
      <c r="CI28" s="37"/>
      <c r="CJ28" s="37"/>
      <c r="CK28" s="37"/>
      <c r="CL28" s="37"/>
      <c r="CM28" s="37"/>
      <c r="CN28" s="37"/>
      <c r="CO28" s="37"/>
      <c r="CP28" s="37"/>
      <c r="CQ28" s="37"/>
      <c r="CR28" s="37"/>
      <c r="CS28" s="37"/>
      <c r="CT28" s="37"/>
      <c r="CU28" s="37"/>
      <c r="CV28" s="37"/>
      <c r="CW28" s="37"/>
      <c r="CX28" s="37"/>
      <c r="CY28" s="37"/>
      <c r="CZ28" s="37"/>
      <c r="DA28" s="37"/>
      <c r="DB28" s="37"/>
      <c r="DC28" s="37"/>
      <c r="DD28" s="37"/>
      <c r="DE28" s="37"/>
      <c r="DF28" s="37"/>
      <c r="DG28" s="37"/>
      <c r="DH28" s="37"/>
      <c r="DI28" s="37"/>
      <c r="DJ28" s="37"/>
      <c r="DK28" s="37"/>
      <c r="DL28" s="37"/>
      <c r="DM28" s="37"/>
      <c r="DN28" s="37"/>
      <c r="DO28" s="37"/>
    </row>
    <row r="29" spans="1:119" s="36" customFormat="1" ht="30" customHeight="1">
      <c r="A29" s="13"/>
      <c r="B29" s="41" t="s">
        <v>35</v>
      </c>
      <c r="C29" s="42" t="s">
        <v>15</v>
      </c>
      <c r="D29" s="43">
        <v>46125</v>
      </c>
      <c r="E29" s="43">
        <v>46153</v>
      </c>
      <c r="F29" s="17"/>
      <c r="G29" s="5">
        <f t="shared" ca="1" si="29"/>
        <v>29</v>
      </c>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c r="BR29" s="37"/>
      <c r="BS29" s="37"/>
      <c r="BT29" s="37"/>
      <c r="BU29" s="37"/>
      <c r="BV29" s="37"/>
      <c r="BW29" s="37"/>
      <c r="BX29" s="37"/>
      <c r="BY29" s="37"/>
      <c r="BZ29" s="37"/>
      <c r="CA29" s="37"/>
      <c r="CB29" s="37"/>
      <c r="CC29" s="37"/>
      <c r="CD29" s="37"/>
      <c r="CE29" s="37"/>
      <c r="CF29" s="37"/>
      <c r="CG29" s="37"/>
      <c r="CH29" s="37"/>
      <c r="CI29" s="37"/>
      <c r="CJ29" s="37"/>
      <c r="CK29" s="37"/>
      <c r="CL29" s="37"/>
      <c r="CM29" s="37"/>
      <c r="CN29" s="37"/>
      <c r="CO29" s="37"/>
      <c r="CP29" s="37"/>
      <c r="CQ29" s="37"/>
      <c r="CR29" s="37"/>
      <c r="CS29" s="37"/>
      <c r="CT29" s="37"/>
      <c r="CU29" s="37"/>
      <c r="CV29" s="37"/>
      <c r="CW29" s="37"/>
      <c r="CX29" s="37"/>
      <c r="CY29" s="37"/>
      <c r="CZ29" s="37"/>
      <c r="DA29" s="37"/>
      <c r="DB29" s="37"/>
      <c r="DC29" s="37"/>
      <c r="DD29" s="37"/>
      <c r="DE29" s="37"/>
      <c r="DF29" s="37"/>
      <c r="DG29" s="37"/>
      <c r="DH29" s="37"/>
      <c r="DI29" s="37"/>
      <c r="DJ29" s="37"/>
      <c r="DK29" s="37"/>
      <c r="DL29" s="37"/>
      <c r="DM29" s="37"/>
      <c r="DN29" s="37"/>
      <c r="DO29" s="37"/>
    </row>
    <row r="30" spans="1:119" s="36" customFormat="1" ht="30" customHeight="1">
      <c r="A30" s="13"/>
      <c r="B30" s="44"/>
      <c r="C30" s="45"/>
      <c r="D30" s="46"/>
      <c r="E30" s="46"/>
      <c r="F30" s="17"/>
      <c r="G30" s="5" t="str">
        <f t="shared" ca="1" si="29"/>
        <v/>
      </c>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c r="BX30" s="35"/>
      <c r="BY30" s="35"/>
      <c r="BZ30" s="35"/>
      <c r="CA30" s="35"/>
      <c r="CB30" s="35"/>
      <c r="CC30" s="35"/>
      <c r="CD30" s="35"/>
      <c r="CE30" s="35"/>
      <c r="CF30" s="35"/>
      <c r="CG30" s="35"/>
      <c r="CH30" s="35"/>
      <c r="CI30" s="35"/>
      <c r="CJ30" s="35"/>
      <c r="CK30" s="35"/>
      <c r="CL30" s="35"/>
      <c r="CM30" s="35"/>
      <c r="CN30" s="35"/>
      <c r="CO30" s="35"/>
      <c r="CP30" s="35"/>
      <c r="CQ30" s="35"/>
      <c r="CR30" s="35"/>
      <c r="CS30" s="35"/>
      <c r="CT30" s="35"/>
      <c r="CU30" s="35"/>
      <c r="CV30" s="35"/>
      <c r="CW30" s="35"/>
      <c r="CX30" s="35"/>
      <c r="CY30" s="35"/>
      <c r="CZ30" s="35"/>
      <c r="DA30" s="35"/>
      <c r="DB30" s="35"/>
      <c r="DC30" s="35"/>
      <c r="DD30" s="35"/>
      <c r="DE30" s="35"/>
      <c r="DF30" s="35"/>
      <c r="DG30" s="35"/>
      <c r="DH30" s="35"/>
      <c r="DI30" s="35"/>
      <c r="DJ30" s="35"/>
      <c r="DK30" s="35"/>
      <c r="DL30" s="35"/>
      <c r="DM30" s="35"/>
      <c r="DN30" s="35"/>
      <c r="DO30" s="35"/>
    </row>
    <row r="31" spans="1:119" s="36" customFormat="1" ht="30" customHeight="1">
      <c r="A31" s="14"/>
      <c r="B31" s="47" t="s">
        <v>36</v>
      </c>
      <c r="C31" s="48"/>
      <c r="D31" s="49"/>
      <c r="E31" s="50"/>
      <c r="F31" s="17"/>
      <c r="G31" s="6" t="str">
        <f t="shared" ca="1" si="29"/>
        <v/>
      </c>
      <c r="H31" s="51"/>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row>
    <row r="32" spans="1:119" ht="30" customHeight="1">
      <c r="F32" s="3"/>
    </row>
    <row r="33" spans="3:5" ht="30" customHeight="1">
      <c r="C33" s="16"/>
      <c r="E33" s="15"/>
    </row>
    <row r="34" spans="3:5" ht="30" customHeight="1">
      <c r="C34" s="4"/>
    </row>
  </sheetData>
  <mergeCells count="26">
    <mergeCell ref="CN4:CT4"/>
    <mergeCell ref="CU4:DA4"/>
    <mergeCell ref="DB4:DH4"/>
    <mergeCell ref="DI4:DO4"/>
    <mergeCell ref="BS4:BY4"/>
    <mergeCell ref="BZ4:CF4"/>
    <mergeCell ref="BL4:BR4"/>
    <mergeCell ref="CG4:CM4"/>
    <mergeCell ref="A5:A6"/>
    <mergeCell ref="B5:B6"/>
    <mergeCell ref="C5:C6"/>
    <mergeCell ref="D5:D6"/>
    <mergeCell ref="E5:E6"/>
    <mergeCell ref="P2:Y2"/>
    <mergeCell ref="P1:Y1"/>
    <mergeCell ref="H1:N1"/>
    <mergeCell ref="H2:N2"/>
    <mergeCell ref="B1:E1"/>
    <mergeCell ref="BE4:BK4"/>
    <mergeCell ref="H4:N4"/>
    <mergeCell ref="O4:U4"/>
    <mergeCell ref="V4:AB4"/>
    <mergeCell ref="AC4:AI4"/>
    <mergeCell ref="AJ4:AP4"/>
    <mergeCell ref="AQ4:AW4"/>
    <mergeCell ref="AX4:BD4"/>
  </mergeCells>
  <conditionalFormatting sqref="H9:BK14">
    <cfRule type="expression" dxfId="71" priority="70">
      <formula>AND(task_start&lt;=H$5,ROUNDDOWN((task_end-task_start+1)*task_progress,0)+task_start-1&gt;=H$5)</formula>
    </cfRule>
    <cfRule type="expression" dxfId="70" priority="71" stopIfTrue="1">
      <formula>AND(task_end&gt;=H$5,task_start&lt;I$5)</formula>
    </cfRule>
  </conditionalFormatting>
  <conditionalFormatting sqref="H16:BK19">
    <cfRule type="expression" dxfId="69" priority="68">
      <formula>AND(task_start&lt;=H$5,ROUNDDOWN((task_end-task_start+1)*task_progress,0)+task_start-1&gt;=H$5)</formula>
    </cfRule>
    <cfRule type="expression" dxfId="68" priority="69" stopIfTrue="1">
      <formula>AND(task_end&gt;=H$5,task_start&lt;I$5)</formula>
    </cfRule>
  </conditionalFormatting>
  <conditionalFormatting sqref="H21:BK25">
    <cfRule type="expression" dxfId="67" priority="66">
      <formula>AND(task_start&lt;=H$5,ROUNDDOWN((task_end-task_start+1)*task_progress,0)+task_start-1&gt;=H$5)</formula>
    </cfRule>
    <cfRule type="expression" dxfId="66" priority="67" stopIfTrue="1">
      <formula>AND(task_end&gt;=H$5,task_start&lt;I$5)</formula>
    </cfRule>
  </conditionalFormatting>
  <conditionalFormatting sqref="H27:BK29">
    <cfRule type="expression" dxfId="65" priority="100">
      <formula>AND(task_start&lt;=H$5,ROUNDDOWN((task_end-task_start+1)*task_progress,0)+task_start-1&gt;=H$5)</formula>
    </cfRule>
    <cfRule type="expression" dxfId="64" priority="101" stopIfTrue="1">
      <formula>AND(task_end&gt;=H$5,task_start&lt;I$5)</formula>
    </cfRule>
  </conditionalFormatting>
  <conditionalFormatting sqref="BL9:BR14">
    <cfRule type="expression" dxfId="63" priority="61">
      <formula>AND(task_start&lt;=BL$5,ROUNDDOWN((task_end-task_start+1)*task_progress,0)+task_start-1&gt;=BL$5)</formula>
    </cfRule>
    <cfRule type="expression" dxfId="62" priority="62" stopIfTrue="1">
      <formula>AND(task_end&gt;=BL$5,task_start&lt;BM$5)</formula>
    </cfRule>
  </conditionalFormatting>
  <conditionalFormatting sqref="BL16:BR19">
    <cfRule type="expression" dxfId="61" priority="59">
      <formula>AND(task_start&lt;=BL$5,ROUNDDOWN((task_end-task_start+1)*task_progress,0)+task_start-1&gt;=BL$5)</formula>
    </cfRule>
    <cfRule type="expression" dxfId="60" priority="60" stopIfTrue="1">
      <formula>AND(task_end&gt;=BL$5,task_start&lt;BM$5)</formula>
    </cfRule>
  </conditionalFormatting>
  <conditionalFormatting sqref="BL21:BR25">
    <cfRule type="expression" dxfId="59" priority="57">
      <formula>AND(task_start&lt;=BL$5,ROUNDDOWN((task_end-task_start+1)*task_progress,0)+task_start-1&gt;=BL$5)</formula>
    </cfRule>
    <cfRule type="expression" dxfId="58" priority="58" stopIfTrue="1">
      <formula>AND(task_end&gt;=BL$5,task_start&lt;BM$5)</formula>
    </cfRule>
  </conditionalFormatting>
  <conditionalFormatting sqref="BL27:BR29">
    <cfRule type="expression" dxfId="57" priority="63">
      <formula>AND(task_start&lt;=BL$5,ROUNDDOWN((task_end-task_start+1)*task_progress,0)+task_start-1&gt;=BL$5)</formula>
    </cfRule>
    <cfRule type="expression" dxfId="56" priority="64" stopIfTrue="1">
      <formula>AND(task_end&gt;=BL$5,task_start&lt;BM$5)</formula>
    </cfRule>
  </conditionalFormatting>
  <conditionalFormatting sqref="BS9:BY14">
    <cfRule type="expression" dxfId="55" priority="53">
      <formula>AND(task_start&lt;=BS$5,ROUNDDOWN((task_end-task_start+1)*task_progress,0)+task_start-1&gt;=BS$5)</formula>
    </cfRule>
    <cfRule type="expression" dxfId="54" priority="54" stopIfTrue="1">
      <formula>AND(task_end&gt;=BS$5,task_start&lt;BT$5)</formula>
    </cfRule>
  </conditionalFormatting>
  <conditionalFormatting sqref="BS16:BY19">
    <cfRule type="expression" dxfId="53" priority="51">
      <formula>AND(task_start&lt;=BS$5,ROUNDDOWN((task_end-task_start+1)*task_progress,0)+task_start-1&gt;=BS$5)</formula>
    </cfRule>
    <cfRule type="expression" dxfId="52" priority="52" stopIfTrue="1">
      <formula>AND(task_end&gt;=BS$5,task_start&lt;BT$5)</formula>
    </cfRule>
  </conditionalFormatting>
  <conditionalFormatting sqref="BS21:BY25">
    <cfRule type="expression" dxfId="51" priority="49">
      <formula>AND(task_start&lt;=BS$5,ROUNDDOWN((task_end-task_start+1)*task_progress,0)+task_start-1&gt;=BS$5)</formula>
    </cfRule>
    <cfRule type="expression" dxfId="50" priority="50" stopIfTrue="1">
      <formula>AND(task_end&gt;=BS$5,task_start&lt;BT$5)</formula>
    </cfRule>
  </conditionalFormatting>
  <conditionalFormatting sqref="BS27:BY29">
    <cfRule type="expression" dxfId="49" priority="55">
      <formula>AND(task_start&lt;=BS$5,ROUNDDOWN((task_end-task_start+1)*task_progress,0)+task_start-1&gt;=BS$5)</formula>
    </cfRule>
    <cfRule type="expression" dxfId="48" priority="56" stopIfTrue="1">
      <formula>AND(task_end&gt;=BS$5,task_start&lt;BT$5)</formula>
    </cfRule>
  </conditionalFormatting>
  <conditionalFormatting sqref="BZ9:CF14">
    <cfRule type="expression" dxfId="47" priority="45">
      <formula>AND(task_start&lt;=BZ$5,ROUNDDOWN((task_end-task_start+1)*task_progress,0)+task_start-1&gt;=BZ$5)</formula>
    </cfRule>
    <cfRule type="expression" dxfId="46" priority="46" stopIfTrue="1">
      <formula>AND(task_end&gt;=BZ$5,task_start&lt;CA$5)</formula>
    </cfRule>
  </conditionalFormatting>
  <conditionalFormatting sqref="BZ16:CF19">
    <cfRule type="expression" dxfId="45" priority="43">
      <formula>AND(task_start&lt;=BZ$5,ROUNDDOWN((task_end-task_start+1)*task_progress,0)+task_start-1&gt;=BZ$5)</formula>
    </cfRule>
    <cfRule type="expression" dxfId="44" priority="44" stopIfTrue="1">
      <formula>AND(task_end&gt;=BZ$5,task_start&lt;CA$5)</formula>
    </cfRule>
  </conditionalFormatting>
  <conditionalFormatting sqref="BZ21:CF25">
    <cfRule type="expression" dxfId="43" priority="41">
      <formula>AND(task_start&lt;=BZ$5,ROUNDDOWN((task_end-task_start+1)*task_progress,0)+task_start-1&gt;=BZ$5)</formula>
    </cfRule>
    <cfRule type="expression" dxfId="42" priority="42" stopIfTrue="1">
      <formula>AND(task_end&gt;=BZ$5,task_start&lt;CA$5)</formula>
    </cfRule>
  </conditionalFormatting>
  <conditionalFormatting sqref="BZ27:CF29">
    <cfRule type="expression" dxfId="41" priority="47">
      <formula>AND(task_start&lt;=BZ$5,ROUNDDOWN((task_end-task_start+1)*task_progress,0)+task_start-1&gt;=BZ$5)</formula>
    </cfRule>
    <cfRule type="expression" dxfId="40" priority="48" stopIfTrue="1">
      <formula>AND(task_end&gt;=BZ$5,task_start&lt;CA$5)</formula>
    </cfRule>
  </conditionalFormatting>
  <conditionalFormatting sqref="CG9:CM14">
    <cfRule type="expression" dxfId="39" priority="37">
      <formula>AND(task_start&lt;=CG$5,ROUNDDOWN((task_end-task_start+1)*task_progress,0)+task_start-1&gt;=CG$5)</formula>
    </cfRule>
    <cfRule type="expression" dxfId="38" priority="38" stopIfTrue="1">
      <formula>AND(task_end&gt;=CG$5,task_start&lt;CH$5)</formula>
    </cfRule>
  </conditionalFormatting>
  <conditionalFormatting sqref="CG16:CM19">
    <cfRule type="expression" dxfId="37" priority="35">
      <formula>AND(task_start&lt;=CG$5,ROUNDDOWN((task_end-task_start+1)*task_progress,0)+task_start-1&gt;=CG$5)</formula>
    </cfRule>
    <cfRule type="expression" dxfId="36" priority="36" stopIfTrue="1">
      <formula>AND(task_end&gt;=CG$5,task_start&lt;CH$5)</formula>
    </cfRule>
  </conditionalFormatting>
  <conditionalFormatting sqref="CG21:CM25">
    <cfRule type="expression" dxfId="35" priority="33">
      <formula>AND(task_start&lt;=CG$5,ROUNDDOWN((task_end-task_start+1)*task_progress,0)+task_start-1&gt;=CG$5)</formula>
    </cfRule>
    <cfRule type="expression" dxfId="34" priority="34" stopIfTrue="1">
      <formula>AND(task_end&gt;=CG$5,task_start&lt;CH$5)</formula>
    </cfRule>
  </conditionalFormatting>
  <conditionalFormatting sqref="CG27:CM29">
    <cfRule type="expression" dxfId="33" priority="39">
      <formula>AND(task_start&lt;=CG$5,ROUNDDOWN((task_end-task_start+1)*task_progress,0)+task_start-1&gt;=CG$5)</formula>
    </cfRule>
    <cfRule type="expression" dxfId="32" priority="40" stopIfTrue="1">
      <formula>AND(task_end&gt;=CG$5,task_start&lt;CH$5)</formula>
    </cfRule>
  </conditionalFormatting>
  <conditionalFormatting sqref="CN9:CT14">
    <cfRule type="expression" dxfId="31" priority="29">
      <formula>AND(task_start&lt;=CN$5,ROUNDDOWN((task_end-task_start+1)*task_progress,0)+task_start-1&gt;=CN$5)</formula>
    </cfRule>
    <cfRule type="expression" dxfId="30" priority="30" stopIfTrue="1">
      <formula>AND(task_end&gt;=CN$5,task_start&lt;CO$5)</formula>
    </cfRule>
  </conditionalFormatting>
  <conditionalFormatting sqref="CN16:CT19">
    <cfRule type="expression" dxfId="29" priority="27">
      <formula>AND(task_start&lt;=CN$5,ROUNDDOWN((task_end-task_start+1)*task_progress,0)+task_start-1&gt;=CN$5)</formula>
    </cfRule>
    <cfRule type="expression" dxfId="28" priority="28" stopIfTrue="1">
      <formula>AND(task_end&gt;=CN$5,task_start&lt;CO$5)</formula>
    </cfRule>
  </conditionalFormatting>
  <conditionalFormatting sqref="CN21:CT25">
    <cfRule type="expression" dxfId="27" priority="25">
      <formula>AND(task_start&lt;=CN$5,ROUNDDOWN((task_end-task_start+1)*task_progress,0)+task_start-1&gt;=CN$5)</formula>
    </cfRule>
    <cfRule type="expression" dxfId="26" priority="26" stopIfTrue="1">
      <formula>AND(task_end&gt;=CN$5,task_start&lt;CO$5)</formula>
    </cfRule>
  </conditionalFormatting>
  <conditionalFormatting sqref="CN27:CT29">
    <cfRule type="expression" dxfId="25" priority="31">
      <formula>AND(task_start&lt;=CN$5,ROUNDDOWN((task_end-task_start+1)*task_progress,0)+task_start-1&gt;=CN$5)</formula>
    </cfRule>
    <cfRule type="expression" dxfId="24" priority="32" stopIfTrue="1">
      <formula>AND(task_end&gt;=CN$5,task_start&lt;CO$5)</formula>
    </cfRule>
  </conditionalFormatting>
  <conditionalFormatting sqref="CU9:DA14">
    <cfRule type="expression" dxfId="23" priority="21">
      <formula>AND(task_start&lt;=CU$5,ROUNDDOWN((task_end-task_start+1)*task_progress,0)+task_start-1&gt;=CU$5)</formula>
    </cfRule>
    <cfRule type="expression" dxfId="22" priority="22" stopIfTrue="1">
      <formula>AND(task_end&gt;=CU$5,task_start&lt;CV$5)</formula>
    </cfRule>
  </conditionalFormatting>
  <conditionalFormatting sqref="CU16:DA19">
    <cfRule type="expression" dxfId="21" priority="19">
      <formula>AND(task_start&lt;=CU$5,ROUNDDOWN((task_end-task_start+1)*task_progress,0)+task_start-1&gt;=CU$5)</formula>
    </cfRule>
    <cfRule type="expression" dxfId="20" priority="20" stopIfTrue="1">
      <formula>AND(task_end&gt;=CU$5,task_start&lt;CV$5)</formula>
    </cfRule>
  </conditionalFormatting>
  <conditionalFormatting sqref="CU21:DA25">
    <cfRule type="expression" dxfId="19" priority="17">
      <formula>AND(task_start&lt;=CU$5,ROUNDDOWN((task_end-task_start+1)*task_progress,0)+task_start-1&gt;=CU$5)</formula>
    </cfRule>
    <cfRule type="expression" dxfId="18" priority="18" stopIfTrue="1">
      <formula>AND(task_end&gt;=CU$5,task_start&lt;CV$5)</formula>
    </cfRule>
  </conditionalFormatting>
  <conditionalFormatting sqref="CU27:DA29">
    <cfRule type="expression" dxfId="17" priority="23">
      <formula>AND(task_start&lt;=CU$5,ROUNDDOWN((task_end-task_start+1)*task_progress,0)+task_start-1&gt;=CU$5)</formula>
    </cfRule>
    <cfRule type="expression" dxfId="16" priority="24" stopIfTrue="1">
      <formula>AND(task_end&gt;=CU$5,task_start&lt;CV$5)</formula>
    </cfRule>
  </conditionalFormatting>
  <conditionalFormatting sqref="DB9:DH14">
    <cfRule type="expression" dxfId="15" priority="13">
      <formula>AND(task_start&lt;=DB$5,ROUNDDOWN((task_end-task_start+1)*task_progress,0)+task_start-1&gt;=DB$5)</formula>
    </cfRule>
    <cfRule type="expression" dxfId="14" priority="14" stopIfTrue="1">
      <formula>AND(task_end&gt;=DB$5,task_start&lt;DC$5)</formula>
    </cfRule>
  </conditionalFormatting>
  <conditionalFormatting sqref="DB16:DH19">
    <cfRule type="expression" dxfId="13" priority="11">
      <formula>AND(task_start&lt;=DB$5,ROUNDDOWN((task_end-task_start+1)*task_progress,0)+task_start-1&gt;=DB$5)</formula>
    </cfRule>
    <cfRule type="expression" dxfId="12" priority="12" stopIfTrue="1">
      <formula>AND(task_end&gt;=DB$5,task_start&lt;DC$5)</formula>
    </cfRule>
  </conditionalFormatting>
  <conditionalFormatting sqref="DB21:DH25">
    <cfRule type="expression" dxfId="11" priority="9">
      <formula>AND(task_start&lt;=DB$5,ROUNDDOWN((task_end-task_start+1)*task_progress,0)+task_start-1&gt;=DB$5)</formula>
    </cfRule>
    <cfRule type="expression" dxfId="10" priority="10" stopIfTrue="1">
      <formula>AND(task_end&gt;=DB$5,task_start&lt;DC$5)</formula>
    </cfRule>
  </conditionalFormatting>
  <conditionalFormatting sqref="DB27:DH29">
    <cfRule type="expression" dxfId="9" priority="15">
      <formula>AND(task_start&lt;=DB$5,ROUNDDOWN((task_end-task_start+1)*task_progress,0)+task_start-1&gt;=DB$5)</formula>
    </cfRule>
    <cfRule type="expression" dxfId="8" priority="16" stopIfTrue="1">
      <formula>AND(task_end&gt;=DB$5,task_start&lt;DC$5)</formula>
    </cfRule>
  </conditionalFormatting>
  <conditionalFormatting sqref="DI9:DO14">
    <cfRule type="expression" dxfId="7" priority="5">
      <formula>AND(task_start&lt;=DI$5,ROUNDDOWN((task_end-task_start+1)*task_progress,0)+task_start-1&gt;=DI$5)</formula>
    </cfRule>
    <cfRule type="expression" dxfId="6" priority="6" stopIfTrue="1">
      <formula>AND(task_end&gt;=DI$5,task_start&lt;DJ$5)</formula>
    </cfRule>
  </conditionalFormatting>
  <conditionalFormatting sqref="DI16:DO19">
    <cfRule type="expression" dxfId="5" priority="3">
      <formula>AND(task_start&lt;=DI$5,ROUNDDOWN((task_end-task_start+1)*task_progress,0)+task_start-1&gt;=DI$5)</formula>
    </cfRule>
    <cfRule type="expression" dxfId="4" priority="4" stopIfTrue="1">
      <formula>AND(task_end&gt;=DI$5,task_start&lt;DJ$5)</formula>
    </cfRule>
  </conditionalFormatting>
  <conditionalFormatting sqref="DI21:DO25">
    <cfRule type="expression" dxfId="3" priority="1">
      <formula>AND(task_start&lt;=DI$5,ROUNDDOWN((task_end-task_start+1)*task_progress,0)+task_start-1&gt;=DI$5)</formula>
    </cfRule>
    <cfRule type="expression" dxfId="2" priority="2" stopIfTrue="1">
      <formula>AND(task_end&gt;=DI$5,task_start&lt;DJ$5)</formula>
    </cfRule>
  </conditionalFormatting>
  <conditionalFormatting sqref="DI27:DO29">
    <cfRule type="expression" dxfId="1" priority="7">
      <formula>AND(task_start&lt;=DI$5,ROUNDDOWN((task_end-task_start+1)*task_progress,0)+task_start-1&gt;=DI$5)</formula>
    </cfRule>
    <cfRule type="expression" dxfId="0" priority="8" stopIfTrue="1">
      <formula>AND(task_end&gt;=DI$5,task_start&lt;DJ$5)</formula>
    </cfRule>
  </conditionalFormatting>
  <dataValidations count="13">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1"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2" sqref="A2"/>
    </sheetView>
  </sheetViews>
  <sheetFormatPr defaultColWidth="9" defaultRowHeight="13.15"/>
  <cols>
    <col min="1" max="1" width="87" style="7" customWidth="1"/>
    <col min="2" max="16384" width="9" style="1"/>
  </cols>
  <sheetData>
    <row r="1" spans="1:2" ht="46.5" customHeight="1"/>
    <row r="2" spans="1:2" s="9" customFormat="1" ht="15.6">
      <c r="A2" s="53" t="s">
        <v>37</v>
      </c>
      <c r="B2" s="8"/>
    </row>
    <row r="3" spans="1:2" s="11" customFormat="1" ht="27" customHeight="1">
      <c r="A3" s="54"/>
      <c r="B3" s="12"/>
    </row>
    <row r="4" spans="1:2" s="10" customFormat="1" ht="30">
      <c r="A4" s="55" t="s">
        <v>38</v>
      </c>
    </row>
    <row r="5" spans="1:2" ht="74.25" customHeight="1">
      <c r="A5" s="56" t="s">
        <v>39</v>
      </c>
    </row>
    <row r="6" spans="1:2" ht="26.25" customHeight="1">
      <c r="A6" s="55" t="s">
        <v>40</v>
      </c>
    </row>
    <row r="7" spans="1:2" s="7" customFormat="1" ht="205.15" customHeight="1">
      <c r="A7" s="57" t="s">
        <v>41</v>
      </c>
    </row>
    <row r="8" spans="1:2" s="10" customFormat="1" ht="30">
      <c r="A8" s="55" t="s">
        <v>42</v>
      </c>
    </row>
    <row r="9" spans="1:2" ht="41.45">
      <c r="A9" s="56" t="s">
        <v>43</v>
      </c>
    </row>
    <row r="10" spans="1:2" s="7" customFormat="1" ht="28.15" customHeight="1">
      <c r="A10" s="58" t="s">
        <v>44</v>
      </c>
    </row>
    <row r="11" spans="1:2" s="10" customFormat="1" ht="30">
      <c r="A11" s="55" t="s">
        <v>45</v>
      </c>
    </row>
    <row r="12" spans="1:2" ht="27.6">
      <c r="A12" s="56" t="s">
        <v>46</v>
      </c>
    </row>
    <row r="13" spans="1:2" s="7" customFormat="1" ht="28.15" customHeight="1">
      <c r="A13" s="58" t="s">
        <v>47</v>
      </c>
    </row>
    <row r="14" spans="1:2" s="10" customFormat="1" ht="30">
      <c r="A14" s="55" t="s">
        <v>48</v>
      </c>
    </row>
    <row r="15" spans="1:2" ht="75" customHeight="1">
      <c r="A15" s="56" t="s">
        <v>49</v>
      </c>
    </row>
    <row r="16" spans="1:2" ht="69">
      <c r="A16" s="56" t="s">
        <v>50</v>
      </c>
    </row>
    <row r="17" spans="1:1">
      <c r="A17" s="59"/>
    </row>
    <row r="18" spans="1:1">
      <c r="A18" s="59"/>
    </row>
    <row r="19" spans="1:1">
      <c r="A19" s="59"/>
    </row>
    <row r="20" spans="1:1">
      <c r="A20" s="59"/>
    </row>
    <row r="21" spans="1:1">
      <c r="A21" s="59"/>
    </row>
    <row r="22" spans="1:1">
      <c r="A22" s="59"/>
    </row>
    <row r="23" spans="1:1">
      <c r="A23" s="59"/>
    </row>
    <row r="24" spans="1:1">
      <c r="A24" s="59"/>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97245281-08F3-4104-84BD-39F3D8CFB195}"/>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2026-02-17T15:15:54Z</dcterms:created>
  <dcterms:modified xsi:type="dcterms:W3CDTF">2026-02-17T16:33:48Z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