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0" documentId="8_{55BB0EEE-BA10-4DB0-9B04-A0E422635877}" xr6:coauthVersionLast="47" xr6:coauthVersionMax="47" xr10:uidLastSave="{00000000-0000-0000-0000-000000000000}"/>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schedule'!$P$2</definedName>
    <definedName name="Project_Start">'Project schedule'!$P$1</definedName>
    <definedName name="task_end" localSheetId="0">'Project schedule'!$E1</definedName>
    <definedName name="task_progress" localSheetId="0">'Project schedule'!#REF!</definedName>
    <definedName name="task_start" localSheetId="0">'Project schedule'!$D1</definedName>
    <definedName name="_xlnm.Print_Titles" localSheetId="0">'Project schedule'!$4:$6</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1" l="1"/>
  <c r="D11" i="11"/>
  <c r="G7" i="11"/>
  <c r="D9" i="11" l="1"/>
  <c r="H5" i="11" l="1"/>
  <c r="G31" i="11"/>
  <c r="G30" i="11"/>
  <c r="G26" i="11"/>
  <c r="G20" i="11"/>
  <c r="G15" i="11"/>
  <c r="G8" i="11"/>
  <c r="G21" i="11" l="1"/>
  <c r="G22" i="11"/>
  <c r="G9" i="11"/>
  <c r="H6" i="11"/>
  <c r="G28" i="11" l="1"/>
  <c r="G27" i="11"/>
  <c r="G25" i="11"/>
  <c r="G10" i="11"/>
  <c r="G23" i="11"/>
  <c r="G16" i="11"/>
  <c r="G13" i="11"/>
  <c r="I5" i="11"/>
  <c r="J5" i="11" s="1"/>
  <c r="K5" i="11" s="1"/>
  <c r="L5" i="11" s="1"/>
  <c r="M5" i="11" s="1"/>
  <c r="N5" i="11" s="1"/>
  <c r="O5" i="11" s="1"/>
  <c r="H4" i="11"/>
  <c r="G29" i="11" l="1"/>
  <c r="G24" i="11"/>
  <c r="G17" i="11"/>
  <c r="G11" i="11"/>
  <c r="G12" i="11"/>
  <c r="O4" i="11"/>
  <c r="P5" i="11"/>
  <c r="Q5" i="11" s="1"/>
  <c r="R5" i="11" s="1"/>
  <c r="S5" i="11" s="1"/>
  <c r="T5" i="11" s="1"/>
  <c r="U5" i="11" s="1"/>
  <c r="V5" i="11" s="1"/>
  <c r="I6" i="11"/>
  <c r="G19" i="11" l="1"/>
  <c r="G18" i="11"/>
  <c r="V4" i="1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L5" i="11" s="1"/>
  <c r="BJ6" i="11"/>
  <c r="AE6" i="11"/>
  <c r="BL4" i="11" l="1"/>
  <c r="BL6" i="11"/>
  <c r="BM5" i="11"/>
  <c r="BK6" i="11"/>
  <c r="AF6" i="11"/>
  <c r="BM6" i="11" l="1"/>
  <c r="BN5" i="11"/>
  <c r="AG6" i="11"/>
  <c r="BN6" i="11" l="1"/>
  <c r="BO5" i="11"/>
  <c r="AH6" i="11"/>
  <c r="BO6" i="11" l="1"/>
  <c r="BP5" i="11"/>
  <c r="AI6" i="11"/>
  <c r="BP6" i="11" l="1"/>
  <c r="BQ5" i="11"/>
  <c r="AJ6" i="11"/>
  <c r="BQ6" i="11" l="1"/>
  <c r="BR5" i="11"/>
  <c r="AK6" i="11"/>
  <c r="BR6" i="11" l="1"/>
  <c r="BS5" i="11"/>
  <c r="AL6" i="11"/>
  <c r="BS4" i="11" l="1"/>
  <c r="BS6" i="11"/>
  <c r="BT5" i="11"/>
  <c r="AM6" i="11"/>
  <c r="BT6" i="11" l="1"/>
  <c r="BU5" i="11"/>
  <c r="AN6" i="11"/>
  <c r="BU6" i="11" l="1"/>
  <c r="BV5" i="11"/>
  <c r="AO6" i="11"/>
  <c r="BV6" i="11" l="1"/>
  <c r="BW5" i="11"/>
  <c r="AP6" i="11"/>
  <c r="BW6" i="11" l="1"/>
  <c r="BX5" i="11"/>
  <c r="AQ6" i="11"/>
  <c r="BX6" i="11" l="1"/>
  <c r="BY5" i="11"/>
  <c r="BY6" i="11" l="1"/>
  <c r="BZ5" i="11"/>
  <c r="BZ4" i="11" l="1"/>
  <c r="BZ6" i="11"/>
  <c r="CA5" i="11"/>
  <c r="CA6" i="11" l="1"/>
  <c r="CB5" i="11"/>
  <c r="CB6" i="11" l="1"/>
  <c r="CC5" i="11"/>
  <c r="CC6" i="11" l="1"/>
  <c r="CD5" i="11"/>
  <c r="CD6" i="11" l="1"/>
  <c r="CE5" i="11"/>
  <c r="CE6" i="11" l="1"/>
  <c r="CF5" i="11"/>
  <c r="CF6" i="11" l="1"/>
  <c r="CG5" i="11"/>
  <c r="CG6" i="11" l="1"/>
  <c r="CH5" i="11"/>
  <c r="CG4" i="11"/>
  <c r="CH6" i="11" l="1"/>
  <c r="CI5" i="11"/>
  <c r="CI6" i="11" l="1"/>
  <c r="CJ5" i="11"/>
  <c r="CJ6" i="11" l="1"/>
  <c r="CK5" i="11"/>
  <c r="CK6" i="11" l="1"/>
  <c r="CL5" i="11"/>
  <c r="CL6" i="11" l="1"/>
  <c r="CM5" i="11"/>
  <c r="CM6" i="11" l="1"/>
  <c r="CN5" i="11"/>
  <c r="CN4" i="11" l="1"/>
  <c r="CN6" i="11"/>
  <c r="CO5" i="11"/>
  <c r="CO6" i="11" l="1"/>
  <c r="CP5" i="11"/>
  <c r="CP6" i="11" l="1"/>
  <c r="CQ5" i="11"/>
  <c r="CQ6" i="11" l="1"/>
  <c r="CR5" i="11"/>
  <c r="CR6" i="11" l="1"/>
  <c r="CS5" i="11"/>
  <c r="CS6" i="11" l="1"/>
  <c r="CT5" i="11"/>
  <c r="CT6" i="11" l="1"/>
  <c r="CU5" i="11"/>
  <c r="CU6" i="11" l="1"/>
  <c r="CV5" i="11"/>
  <c r="CU4" i="11"/>
  <c r="CV6" i="11" l="1"/>
  <c r="CW5" i="11"/>
  <c r="CW6" i="11" l="1"/>
  <c r="CX5" i="11"/>
  <c r="CX6" i="11" l="1"/>
  <c r="CY5" i="11"/>
  <c r="CY6" i="11" l="1"/>
  <c r="CZ5" i="11"/>
  <c r="CZ6" i="11" l="1"/>
  <c r="DA5" i="11"/>
  <c r="DA6" i="11" l="1"/>
  <c r="DB5" i="11"/>
  <c r="DB4" i="11" l="1"/>
  <c r="DB6" i="11"/>
  <c r="DC5" i="11"/>
  <c r="DC6" i="11" l="1"/>
  <c r="DD5" i="11"/>
  <c r="DD6" i="11" l="1"/>
  <c r="DE5" i="11"/>
  <c r="DE6" i="11" l="1"/>
  <c r="DF5" i="11"/>
  <c r="DF6" i="11" l="1"/>
  <c r="DG5" i="11"/>
  <c r="DG6" i="11" l="1"/>
  <c r="DH5" i="11"/>
  <c r="DH6" i="11" l="1"/>
  <c r="DI5" i="11"/>
  <c r="DI6" i="11" l="1"/>
  <c r="DJ5" i="11"/>
  <c r="DI4" i="11"/>
  <c r="DJ6" i="11" l="1"/>
  <c r="DK5" i="11"/>
  <c r="DK6" i="11" l="1"/>
  <c r="DL5" i="11"/>
  <c r="DL6" i="11" l="1"/>
  <c r="DM5" i="11"/>
  <c r="DM6" i="11" l="1"/>
  <c r="DN5" i="11"/>
  <c r="DN6" i="11" l="1"/>
  <c r="DO5" i="11"/>
  <c r="DO6" i="11" s="1"/>
</calcChain>
</file>

<file path=xl/sharedStrings.xml><?xml version="1.0" encoding="utf-8"?>
<sst xmlns="http://schemas.openxmlformats.org/spreadsheetml/2006/main" count="64" uniqueCount="51">
  <si>
    <t>Sistema de Gestão de uma Oficina de Trotinetes</t>
  </si>
  <si>
    <t>Project start:</t>
  </si>
  <si>
    <t>EcoRide Solutions</t>
  </si>
  <si>
    <t>Display week:</t>
  </si>
  <si>
    <t>TASK</t>
  </si>
  <si>
    <t>ASSIGNED TO</t>
  </si>
  <si>
    <t>START</t>
  </si>
  <si>
    <t>END</t>
  </si>
  <si>
    <t xml:space="preserve">Do not delete this row. This row is hidden to preserve a formula that is used to highlight the current day within the project schedule. </t>
  </si>
  <si>
    <t>Conceção e Engenharia de Requisitos</t>
  </si>
  <si>
    <t>Definição do domínio</t>
  </si>
  <si>
    <t>Tiago</t>
  </si>
  <si>
    <t>Identificação de stakeholders</t>
  </si>
  <si>
    <t>Duarte</t>
  </si>
  <si>
    <t>Contexto e restrições</t>
  </si>
  <si>
    <t>Luís</t>
  </si>
  <si>
    <t xml:space="preserve"> Entrevistas</t>
  </si>
  <si>
    <t>Inês</t>
  </si>
  <si>
    <t>Geração de user stories</t>
  </si>
  <si>
    <t>Eduardo</t>
  </si>
  <si>
    <t>Refinamento de requisitos</t>
  </si>
  <si>
    <t>Arquitetura e Design do Software</t>
  </si>
  <si>
    <t>Definição da arquitetura</t>
  </si>
  <si>
    <t>Desenvolver diagramas</t>
  </si>
  <si>
    <t>Design de interfaces</t>
  </si>
  <si>
    <t>Documentação da arquitetura</t>
  </si>
  <si>
    <t>Implementação e Desenvolvimento</t>
  </si>
  <si>
    <t>Configuração do ambiente</t>
  </si>
  <si>
    <t>Geração de código</t>
  </si>
  <si>
    <t>Desenvolvimento por módulos</t>
  </si>
  <si>
    <t>Implementação do sofware</t>
  </si>
  <si>
    <t>Revisão de código</t>
  </si>
  <si>
    <t>Verificação, Validação e Avaliação da Qualidade do Software</t>
  </si>
  <si>
    <t>Geração de testes</t>
  </si>
  <si>
    <t>Verificação dos requisitos</t>
  </si>
  <si>
    <t>Aceitação, análise e métricas</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</si>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</sst>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sz val="11"/>
      <color theme="1"/>
      <name val="Arial Black"/>
      <family val="2"/>
      <scheme val="major"/>
    </font>
    <font>
      <sz val="11"/>
      <color rgb="FF1D2129"/>
      <name val="Arial"/>
      <family val="2"/>
      <scheme val="minor"/>
    </font>
    <font>
      <u/>
      <sz val="11"/>
      <color indexed="12"/>
      <name val="Arial"/>
      <family val="2"/>
      <scheme val="minor"/>
    </font>
    <font>
      <b/>
      <sz val="26"/>
      <color theme="1"/>
      <name val="Arial Black"/>
      <family val="2"/>
      <scheme val="major"/>
    </font>
    <font>
      <b/>
      <sz val="16"/>
      <color theme="1"/>
      <name val="Arial"/>
      <family val="2"/>
      <scheme val="minor"/>
    </font>
    <font>
      <b/>
      <sz val="16"/>
      <color theme="1"/>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00B050"/>
        <bgColor indexed="64"/>
      </patternFill>
    </fill>
    <fill>
      <patternFill patternType="solid">
        <fgColor theme="6" tint="0.59999389629810485"/>
        <bgColor indexed="64"/>
      </patternFill>
    </fill>
    <fill>
      <patternFill patternType="solid">
        <fgColor rgb="FF00B0F0"/>
        <bgColor indexed="64"/>
      </patternFill>
    </fill>
    <fill>
      <patternFill patternType="solid">
        <fgColor theme="7" tint="0.79998168889431442"/>
        <bgColor indexed="64"/>
      </patternFill>
    </fill>
    <fill>
      <patternFill patternType="solid">
        <fgColor rgb="FFFF616B"/>
        <bgColor indexed="64"/>
      </patternFill>
    </fill>
    <fill>
      <patternFill patternType="solid">
        <fgColor rgb="FFFFCFCF"/>
        <bgColor indexed="64"/>
      </patternFill>
    </fill>
    <fill>
      <patternFill patternType="solid">
        <fgColor theme="8" tint="0.39997558519241921"/>
        <bgColor indexed="64"/>
      </patternFill>
    </fill>
  </fills>
  <borders count="18">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2">
    <xf numFmtId="0" fontId="0" fillId="0" borderId="0"/>
    <xf numFmtId="0" fontId="2" fillId="0" borderId="0" applyNumberFormat="0" applyFill="0" applyBorder="0" applyAlignment="0" applyProtection="0">
      <alignment vertical="top"/>
      <protection locked="0"/>
    </xf>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2"/>
    <xf numFmtId="0" fontId="13" fillId="0" borderId="0" xfId="2"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9" fillId="5" borderId="16" xfId="0" applyNumberFormat="1" applyFont="1" applyFill="1" applyBorder="1" applyAlignment="1">
      <alignment horizontal="center" vertical="center"/>
    </xf>
    <xf numFmtId="168" fontId="19" fillId="5" borderId="14" xfId="0" applyNumberFormat="1" applyFont="1" applyFill="1" applyBorder="1" applyAlignment="1">
      <alignment horizontal="center" vertical="center"/>
    </xf>
    <xf numFmtId="168" fontId="19" fillId="5" borderId="15" xfId="0" applyNumberFormat="1" applyFont="1" applyFill="1" applyBorder="1" applyAlignment="1">
      <alignment horizontal="center" vertical="center"/>
    </xf>
    <xf numFmtId="0" fontId="20" fillId="2" borderId="13" xfId="0" applyFont="1" applyFill="1" applyBorder="1" applyAlignment="1">
      <alignment horizontal="center" vertical="center" shrinkToFit="1"/>
    </xf>
    <xf numFmtId="0" fontId="20" fillId="2" borderId="10" xfId="0" applyFont="1" applyFill="1" applyBorder="1" applyAlignment="1">
      <alignment horizontal="center" vertical="center" shrinkToFit="1"/>
    </xf>
    <xf numFmtId="0" fontId="20" fillId="2" borderId="11"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4" fillId="0" borderId="8"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4" fillId="0" borderId="7" xfId="0" applyFont="1" applyBorder="1" applyAlignment="1">
      <alignment vertical="center"/>
    </xf>
    <xf numFmtId="0" fontId="4" fillId="0" borderId="6" xfId="0" applyFont="1" applyBorder="1" applyAlignment="1">
      <alignment vertical="center"/>
    </xf>
    <xf numFmtId="0" fontId="17" fillId="3" borderId="5" xfId="11" applyFont="1" applyFill="1" applyBorder="1">
      <alignment horizontal="left" vertical="center" indent="2"/>
    </xf>
    <xf numFmtId="0" fontId="17" fillId="3" borderId="5" xfId="10" applyFont="1" applyFill="1" applyBorder="1" applyAlignment="1">
      <alignment vertical="center"/>
    </xf>
    <xf numFmtId="165" fontId="17" fillId="3" borderId="5" xfId="9" applyFont="1" applyFill="1" applyBorder="1">
      <alignment horizontal="center" vertical="center"/>
    </xf>
    <xf numFmtId="0" fontId="17" fillId="0" borderId="0" xfId="11" applyFont="1" applyBorder="1">
      <alignment horizontal="left" vertical="center" indent="2"/>
    </xf>
    <xf numFmtId="0" fontId="17" fillId="0" borderId="0" xfId="10" applyFont="1" applyBorder="1" applyAlignment="1">
      <alignment vertical="center"/>
    </xf>
    <xf numFmtId="165" fontId="17" fillId="0" borderId="0" xfId="9" applyFont="1" applyBorder="1">
      <alignment horizontal="center" vertical="center"/>
    </xf>
    <xf numFmtId="0" fontId="22" fillId="2" borderId="0" xfId="0" applyFont="1" applyFill="1" applyAlignment="1">
      <alignment horizontal="left" vertical="center" indent="1"/>
    </xf>
    <xf numFmtId="0" fontId="22" fillId="2" borderId="0" xfId="0" applyFont="1" applyFill="1" applyAlignment="1">
      <alignment vertical="center"/>
    </xf>
    <xf numFmtId="165" fontId="23"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4" fillId="0" borderId="0" xfId="6"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4"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29" fillId="0" borderId="0" xfId="5" applyFont="1" applyAlignment="1">
      <alignment horizontal="left" vertical="center" indent="1"/>
    </xf>
    <xf numFmtId="0" fontId="21" fillId="6" borderId="0" xfId="0" applyFont="1" applyFill="1" applyAlignment="1">
      <alignment horizontal="left" vertical="center" indent="1"/>
    </xf>
    <xf numFmtId="0" fontId="17" fillId="6" borderId="0" xfId="10" applyFont="1" applyFill="1" applyBorder="1" applyAlignment="1">
      <alignment vertical="center"/>
    </xf>
    <xf numFmtId="165" fontId="17"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17" fillId="7" borderId="0" xfId="11" applyFont="1" applyFill="1" applyBorder="1">
      <alignment horizontal="left" vertical="center" indent="2"/>
    </xf>
    <xf numFmtId="0" fontId="17" fillId="7" borderId="0" xfId="10" applyFont="1" applyFill="1" applyBorder="1" applyAlignment="1">
      <alignment vertical="center"/>
    </xf>
    <xf numFmtId="165" fontId="17" fillId="7" borderId="0" xfId="9" applyFont="1" applyFill="1" applyBorder="1">
      <alignment horizontal="center" vertical="center"/>
    </xf>
    <xf numFmtId="0" fontId="21" fillId="8" borderId="0" xfId="0" applyFont="1" applyFill="1" applyAlignment="1">
      <alignment horizontal="left" vertical="center" indent="1"/>
    </xf>
    <xf numFmtId="0" fontId="17" fillId="8" borderId="0" xfId="10" applyFont="1" applyFill="1" applyBorder="1" applyAlignment="1">
      <alignment vertical="center"/>
    </xf>
    <xf numFmtId="165" fontId="17"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17" fillId="9" borderId="0" xfId="11" applyFont="1" applyFill="1" applyBorder="1">
      <alignment horizontal="left" vertical="center" indent="2"/>
    </xf>
    <xf numFmtId="0" fontId="17" fillId="9" borderId="0" xfId="10" applyFont="1" applyFill="1" applyBorder="1" applyAlignment="1">
      <alignment vertical="center"/>
    </xf>
    <xf numFmtId="165" fontId="17" fillId="9" borderId="0" xfId="9" applyFont="1" applyFill="1" applyBorder="1">
      <alignment horizontal="center" vertical="center"/>
    </xf>
    <xf numFmtId="0" fontId="21" fillId="10" borderId="0" xfId="0" applyFont="1" applyFill="1" applyAlignment="1">
      <alignment horizontal="left" vertical="center" indent="1"/>
    </xf>
    <xf numFmtId="0" fontId="17" fillId="10" borderId="0" xfId="10" applyFont="1" applyFill="1" applyBorder="1" applyAlignment="1">
      <alignment vertical="center"/>
    </xf>
    <xf numFmtId="165" fontId="17" fillId="10" borderId="0" xfId="0" applyNumberFormat="1" applyFont="1" applyFill="1" applyAlignment="1">
      <alignment horizontal="center" vertical="center"/>
    </xf>
    <xf numFmtId="0" fontId="17" fillId="11" borderId="0" xfId="11" applyFont="1" applyFill="1" applyBorder="1">
      <alignment horizontal="left" vertical="center" indent="2"/>
    </xf>
    <xf numFmtId="0" fontId="17" fillId="11" borderId="0" xfId="10" applyFont="1" applyFill="1" applyBorder="1" applyAlignment="1">
      <alignment vertical="center"/>
    </xf>
    <xf numFmtId="165" fontId="17" fillId="11" borderId="0" xfId="9" applyFont="1" applyFill="1" applyBorder="1">
      <alignment horizontal="center" vertical="center"/>
    </xf>
    <xf numFmtId="0" fontId="21" fillId="12" borderId="0" xfId="0" applyFont="1" applyFill="1" applyAlignment="1">
      <alignment horizontal="left" vertical="center" indent="1"/>
    </xf>
    <xf numFmtId="0" fontId="17" fillId="12" borderId="0" xfId="10" applyFont="1" applyFill="1" applyBorder="1" applyAlignment="1">
      <alignment vertical="center"/>
    </xf>
    <xf numFmtId="165" fontId="17" fillId="12" borderId="0" xfId="0" applyNumberFormat="1" applyFont="1" applyFill="1" applyAlignment="1">
      <alignment horizontal="center" vertical="center"/>
    </xf>
    <xf numFmtId="165" fontId="1" fillId="12" borderId="0" xfId="0" applyNumberFormat="1" applyFont="1" applyFill="1" applyAlignment="1">
      <alignment horizontal="center" vertical="center"/>
    </xf>
    <xf numFmtId="167" fontId="17" fillId="2" borderId="15" xfId="0" applyNumberFormat="1" applyFont="1" applyFill="1" applyBorder="1" applyAlignment="1">
      <alignment horizontal="center" vertical="center" wrapText="1"/>
    </xf>
    <xf numFmtId="167" fontId="17" fillId="2" borderId="16" xfId="0" applyNumberFormat="1" applyFont="1" applyFill="1" applyBorder="1" applyAlignment="1">
      <alignment horizontal="center" vertical="center" wrapText="1"/>
    </xf>
    <xf numFmtId="0" fontId="13" fillId="0" borderId="0" xfId="2" applyAlignment="1">
      <alignment wrapText="1"/>
    </xf>
    <xf numFmtId="0" fontId="18" fillId="4" borderId="12" xfId="0" applyFont="1" applyFill="1" applyBorder="1" applyAlignment="1">
      <alignment horizontal="left" vertical="center" indent="1"/>
    </xf>
    <xf numFmtId="0" fontId="4" fillId="2" borderId="17" xfId="0" applyFont="1" applyFill="1" applyBorder="1" applyAlignment="1">
      <alignment horizontal="left" indent="1"/>
    </xf>
    <xf numFmtId="0" fontId="18" fillId="4" borderId="12" xfId="0" applyFont="1" applyFill="1" applyBorder="1" applyAlignment="1">
      <alignment vertical="center"/>
    </xf>
    <xf numFmtId="0" fontId="18" fillId="4" borderId="12" xfId="0" applyFont="1" applyFill="1" applyBorder="1" applyAlignment="1">
      <alignment horizontal="center" vertical="center"/>
    </xf>
    <xf numFmtId="167" fontId="17" fillId="2" borderId="14" xfId="0" applyNumberFormat="1" applyFont="1" applyFill="1" applyBorder="1" applyAlignment="1">
      <alignment horizontal="center" vertical="center" wrapText="1"/>
    </xf>
    <xf numFmtId="167" fontId="17" fillId="2" borderId="9" xfId="0" applyNumberFormat="1" applyFont="1" applyFill="1" applyBorder="1" applyAlignment="1">
      <alignment horizontal="center" vertical="center" wrapText="1"/>
    </xf>
    <xf numFmtId="0" fontId="30" fillId="0" borderId="0" xfId="0" applyFont="1" applyAlignment="1">
      <alignment horizontal="left"/>
    </xf>
    <xf numFmtId="166" fontId="30" fillId="0" borderId="0" xfId="8" applyFont="1" applyBorder="1" applyAlignment="1">
      <alignment horizontal="left"/>
    </xf>
    <xf numFmtId="0" fontId="29" fillId="0" borderId="0" xfId="7" applyFont="1" applyAlignment="1">
      <alignment horizontal="left"/>
    </xf>
    <xf numFmtId="0" fontId="28" fillId="0" borderId="0" xfId="4" applyFont="1" applyAlignment="1">
      <alignment horizontal="left" vertical="top" wrapText="1"/>
    </xf>
    <xf numFmtId="0" fontId="0" fillId="0" borderId="0" xfId="0" applyAlignment="1"/>
    <xf numFmtId="0" fontId="25" fillId="0" borderId="0" xfId="0" applyFont="1" applyAlignment="1"/>
    <xf numFmtId="0" fontId="4" fillId="2" borderId="17" xfId="0" applyFont="1" applyFill="1" applyBorder="1" applyAlignment="1"/>
  </cellXfs>
  <cellStyles count="12">
    <cellStyle name="Cabeçalho 1" xfId="5" builtinId="16" customBuiltin="1"/>
    <cellStyle name="Cabeçalho 2" xfId="6" builtinId="17" customBuiltin="1"/>
    <cellStyle name="Cabeçalho 3" xfId="7" builtinId="18" customBuiltin="1"/>
    <cellStyle name="Date" xfId="9" xr:uid="{229918B6-DD13-4F5A-97B9-305F7E002AA3}"/>
    <cellStyle name="Hiperligação"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ítulo" xfId="4" builtinId="15" customBuiltin="1"/>
    <cellStyle name="Vírgula" xfId="3" builtinId="3" customBuiltin="1"/>
    <cellStyle name="zHiddenText" xfId="2" xr:uid="{26E66EE6-E33F-4D77-BAE4-0FB4F5BBF673}"/>
  </cellStyles>
  <dxfs count="81">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80"/>
      <tableStyleElement type="headerRow" dxfId="79"/>
      <tableStyleElement type="totalRow" dxfId="78"/>
      <tableStyleElement type="firstColumn" dxfId="77"/>
      <tableStyleElement type="lastColumn" dxfId="76"/>
      <tableStyleElement type="firstRowStripe" dxfId="75"/>
      <tableStyleElement type="secondRowStripe" dxfId="74"/>
      <tableStyleElement type="firstColumnStripe" dxfId="73"/>
      <tableStyleElement type="secondColumnStripe" dxfId="7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616B"/>
      <color rgb="FFFFCFCF"/>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O34"/>
  <sheetViews>
    <sheetView showGridLines="0" tabSelected="1" showRuler="0" topLeftCell="A22" zoomScaleNormal="100" zoomScalePageLayoutView="70" workbookViewId="0">
      <selection activeCell="AB32" sqref="AB32"/>
    </sheetView>
  </sheetViews>
  <sheetFormatPr defaultColWidth="8.75" defaultRowHeight="30" customHeight="1"/>
  <cols>
    <col min="1" max="1" width="2.75" style="13" customWidth="1"/>
    <col min="2" max="2" width="27.625" customWidth="1"/>
    <col min="3" max="3" width="16.75" customWidth="1"/>
    <col min="4" max="4" width="10.75" style="2" customWidth="1"/>
    <col min="5" max="5" width="10.75" customWidth="1"/>
    <col min="6" max="6" width="2.75" customWidth="1"/>
    <col min="7" max="7" width="6" hidden="1" customWidth="1"/>
    <col min="8" max="119" width="2.75" customWidth="1"/>
  </cols>
  <sheetData>
    <row r="1" spans="1:119" ht="90" customHeight="1">
      <c r="A1" s="14"/>
      <c r="B1" s="97" t="s">
        <v>0</v>
      </c>
      <c r="C1" s="97"/>
      <c r="D1" s="97"/>
      <c r="E1" s="97"/>
      <c r="G1" s="1"/>
      <c r="H1" s="96" t="s">
        <v>1</v>
      </c>
      <c r="I1" s="98"/>
      <c r="J1" s="98"/>
      <c r="K1" s="98"/>
      <c r="L1" s="98"/>
      <c r="M1" s="98"/>
      <c r="N1" s="98"/>
      <c r="O1" s="20"/>
      <c r="P1" s="95">
        <v>46062</v>
      </c>
      <c r="Q1" s="99"/>
      <c r="R1" s="99"/>
      <c r="S1" s="99"/>
      <c r="T1" s="99"/>
      <c r="U1" s="99"/>
      <c r="V1" s="99"/>
      <c r="W1" s="99"/>
      <c r="X1" s="99"/>
      <c r="Y1" s="99"/>
    </row>
    <row r="2" spans="1:119" ht="30" customHeight="1">
      <c r="B2" s="60" t="s">
        <v>2</v>
      </c>
      <c r="C2" s="52"/>
      <c r="D2" s="19"/>
      <c r="E2" s="18"/>
      <c r="H2" s="96" t="s">
        <v>3</v>
      </c>
      <c r="I2" s="98"/>
      <c r="J2" s="98"/>
      <c r="K2" s="98"/>
      <c r="L2" s="98"/>
      <c r="M2" s="98"/>
      <c r="N2" s="98"/>
      <c r="O2" s="20"/>
      <c r="P2" s="94">
        <v>1</v>
      </c>
      <c r="Q2" s="99"/>
      <c r="R2" s="99"/>
      <c r="S2" s="99"/>
      <c r="T2" s="99"/>
      <c r="U2" s="99"/>
      <c r="V2" s="99"/>
      <c r="W2" s="99"/>
      <c r="X2" s="99"/>
      <c r="Y2" s="99"/>
    </row>
    <row r="3" spans="1:119" s="22" customFormat="1" ht="30" customHeight="1">
      <c r="A3" s="13"/>
      <c r="B3" s="21"/>
      <c r="D3" s="23"/>
    </row>
    <row r="4" spans="1:119" s="22" customFormat="1" ht="30" customHeight="1">
      <c r="A4" s="14"/>
      <c r="B4" s="24"/>
      <c r="D4" s="25"/>
      <c r="H4" s="92">
        <f>H5</f>
        <v>46062</v>
      </c>
      <c r="I4" s="93"/>
      <c r="J4" s="93"/>
      <c r="K4" s="93"/>
      <c r="L4" s="93"/>
      <c r="M4" s="93"/>
      <c r="N4" s="93"/>
      <c r="O4" s="93">
        <f>O5</f>
        <v>46069</v>
      </c>
      <c r="P4" s="93"/>
      <c r="Q4" s="93"/>
      <c r="R4" s="93"/>
      <c r="S4" s="93"/>
      <c r="T4" s="93"/>
      <c r="U4" s="93"/>
      <c r="V4" s="93">
        <f>V5</f>
        <v>46076</v>
      </c>
      <c r="W4" s="93"/>
      <c r="X4" s="93"/>
      <c r="Y4" s="93"/>
      <c r="Z4" s="93"/>
      <c r="AA4" s="93"/>
      <c r="AB4" s="93"/>
      <c r="AC4" s="93">
        <f>AC5</f>
        <v>46083</v>
      </c>
      <c r="AD4" s="93"/>
      <c r="AE4" s="93"/>
      <c r="AF4" s="93"/>
      <c r="AG4" s="93"/>
      <c r="AH4" s="93"/>
      <c r="AI4" s="93"/>
      <c r="AJ4" s="93">
        <f>AJ5</f>
        <v>46090</v>
      </c>
      <c r="AK4" s="93"/>
      <c r="AL4" s="93"/>
      <c r="AM4" s="93"/>
      <c r="AN4" s="93"/>
      <c r="AO4" s="93"/>
      <c r="AP4" s="93"/>
      <c r="AQ4" s="93">
        <f>AQ5</f>
        <v>46097</v>
      </c>
      <c r="AR4" s="93"/>
      <c r="AS4" s="93"/>
      <c r="AT4" s="93"/>
      <c r="AU4" s="93"/>
      <c r="AV4" s="93"/>
      <c r="AW4" s="93"/>
      <c r="AX4" s="85">
        <f>AX5</f>
        <v>46104</v>
      </c>
      <c r="AY4" s="86"/>
      <c r="AZ4" s="86"/>
      <c r="BA4" s="86"/>
      <c r="BB4" s="86"/>
      <c r="BC4" s="86"/>
      <c r="BD4" s="92"/>
      <c r="BE4" s="85">
        <f>BE5</f>
        <v>46111</v>
      </c>
      <c r="BF4" s="86"/>
      <c r="BG4" s="86"/>
      <c r="BH4" s="86"/>
      <c r="BI4" s="86"/>
      <c r="BJ4" s="86"/>
      <c r="BK4" s="86"/>
      <c r="BL4" s="85">
        <f>BL5</f>
        <v>46118</v>
      </c>
      <c r="BM4" s="86"/>
      <c r="BN4" s="86"/>
      <c r="BO4" s="86"/>
      <c r="BP4" s="86"/>
      <c r="BQ4" s="86"/>
      <c r="BR4" s="86"/>
      <c r="BS4" s="85">
        <f>BS5</f>
        <v>46125</v>
      </c>
      <c r="BT4" s="86"/>
      <c r="BU4" s="86"/>
      <c r="BV4" s="86"/>
      <c r="BW4" s="86"/>
      <c r="BX4" s="86"/>
      <c r="BY4" s="86"/>
      <c r="BZ4" s="85">
        <f>BZ5</f>
        <v>46132</v>
      </c>
      <c r="CA4" s="86"/>
      <c r="CB4" s="86"/>
      <c r="CC4" s="86"/>
      <c r="CD4" s="86"/>
      <c r="CE4" s="86"/>
      <c r="CF4" s="86"/>
      <c r="CG4" s="85">
        <f>CG5</f>
        <v>46139</v>
      </c>
      <c r="CH4" s="86"/>
      <c r="CI4" s="86"/>
      <c r="CJ4" s="86"/>
      <c r="CK4" s="86"/>
      <c r="CL4" s="86"/>
      <c r="CM4" s="86"/>
      <c r="CN4" s="85">
        <f>CN5</f>
        <v>46146</v>
      </c>
      <c r="CO4" s="86"/>
      <c r="CP4" s="86"/>
      <c r="CQ4" s="86"/>
      <c r="CR4" s="86"/>
      <c r="CS4" s="86"/>
      <c r="CT4" s="86"/>
      <c r="CU4" s="85">
        <f>CU5</f>
        <v>46153</v>
      </c>
      <c r="CV4" s="86"/>
      <c r="CW4" s="86"/>
      <c r="CX4" s="86"/>
      <c r="CY4" s="86"/>
      <c r="CZ4" s="86"/>
      <c r="DA4" s="86"/>
      <c r="DB4" s="85">
        <f>DB5</f>
        <v>46160</v>
      </c>
      <c r="DC4" s="86"/>
      <c r="DD4" s="86"/>
      <c r="DE4" s="86"/>
      <c r="DF4" s="86"/>
      <c r="DG4" s="86"/>
      <c r="DH4" s="86"/>
      <c r="DI4" s="85">
        <f>DI5</f>
        <v>46167</v>
      </c>
      <c r="DJ4" s="86"/>
      <c r="DK4" s="86"/>
      <c r="DL4" s="86"/>
      <c r="DM4" s="86"/>
      <c r="DN4" s="86"/>
      <c r="DO4" s="86"/>
    </row>
    <row r="5" spans="1:119" s="22" customFormat="1" ht="15" customHeight="1">
      <c r="A5" s="87"/>
      <c r="B5" s="88" t="s">
        <v>4</v>
      </c>
      <c r="C5" s="90" t="s">
        <v>5</v>
      </c>
      <c r="D5" s="91" t="s">
        <v>6</v>
      </c>
      <c r="E5" s="91" t="s">
        <v>7</v>
      </c>
      <c r="H5" s="26">
        <f>Project_Start-WEEKDAY(Project_Start,1)+2+7*(Display_Week-1)</f>
        <v>46062</v>
      </c>
      <c r="I5" s="26">
        <f>H5+1</f>
        <v>46063</v>
      </c>
      <c r="J5" s="26">
        <f t="shared" ref="J5:AP5" si="0">I5+1</f>
        <v>46064</v>
      </c>
      <c r="K5" s="26">
        <f t="shared" si="0"/>
        <v>46065</v>
      </c>
      <c r="L5" s="26">
        <f t="shared" si="0"/>
        <v>46066</v>
      </c>
      <c r="M5" s="26">
        <f t="shared" si="0"/>
        <v>46067</v>
      </c>
      <c r="N5" s="27">
        <f t="shared" si="0"/>
        <v>46068</v>
      </c>
      <c r="O5" s="28">
        <f>N5+1</f>
        <v>46069</v>
      </c>
      <c r="P5" s="26">
        <f>O5+1</f>
        <v>46070</v>
      </c>
      <c r="Q5" s="26">
        <f t="shared" si="0"/>
        <v>46071</v>
      </c>
      <c r="R5" s="26">
        <f t="shared" si="0"/>
        <v>46072</v>
      </c>
      <c r="S5" s="26">
        <f t="shared" si="0"/>
        <v>46073</v>
      </c>
      <c r="T5" s="26">
        <f t="shared" si="0"/>
        <v>46074</v>
      </c>
      <c r="U5" s="27">
        <f t="shared" si="0"/>
        <v>46075</v>
      </c>
      <c r="V5" s="28">
        <f>U5+1</f>
        <v>46076</v>
      </c>
      <c r="W5" s="26">
        <f>V5+1</f>
        <v>46077</v>
      </c>
      <c r="X5" s="26">
        <f t="shared" si="0"/>
        <v>46078</v>
      </c>
      <c r="Y5" s="26">
        <f t="shared" si="0"/>
        <v>46079</v>
      </c>
      <c r="Z5" s="26">
        <f t="shared" si="0"/>
        <v>46080</v>
      </c>
      <c r="AA5" s="26">
        <f t="shared" si="0"/>
        <v>46081</v>
      </c>
      <c r="AB5" s="27">
        <f t="shared" si="0"/>
        <v>46082</v>
      </c>
      <c r="AC5" s="28">
        <f>AB5+1</f>
        <v>46083</v>
      </c>
      <c r="AD5" s="26">
        <f>AC5+1</f>
        <v>46084</v>
      </c>
      <c r="AE5" s="26">
        <f t="shared" si="0"/>
        <v>46085</v>
      </c>
      <c r="AF5" s="26">
        <f t="shared" si="0"/>
        <v>46086</v>
      </c>
      <c r="AG5" s="26">
        <f t="shared" si="0"/>
        <v>46087</v>
      </c>
      <c r="AH5" s="26">
        <f t="shared" si="0"/>
        <v>46088</v>
      </c>
      <c r="AI5" s="27">
        <f t="shared" si="0"/>
        <v>46089</v>
      </c>
      <c r="AJ5" s="28">
        <f>AI5+1</f>
        <v>46090</v>
      </c>
      <c r="AK5" s="26">
        <f>AJ5+1</f>
        <v>46091</v>
      </c>
      <c r="AL5" s="26">
        <f t="shared" si="0"/>
        <v>46092</v>
      </c>
      <c r="AM5" s="26">
        <f t="shared" si="0"/>
        <v>46093</v>
      </c>
      <c r="AN5" s="26">
        <f t="shared" si="0"/>
        <v>46094</v>
      </c>
      <c r="AO5" s="26">
        <f t="shared" si="0"/>
        <v>46095</v>
      </c>
      <c r="AP5" s="27">
        <f t="shared" si="0"/>
        <v>46096</v>
      </c>
      <c r="AQ5" s="28">
        <f>AP5+1</f>
        <v>46097</v>
      </c>
      <c r="AR5" s="26">
        <f>AQ5+1</f>
        <v>46098</v>
      </c>
      <c r="AS5" s="26">
        <f>AR5+1</f>
        <v>46099</v>
      </c>
      <c r="AT5" s="26">
        <f>AS5+1</f>
        <v>46100</v>
      </c>
      <c r="AU5" s="26">
        <f>AT5+1</f>
        <v>46101</v>
      </c>
      <c r="AV5" s="26">
        <f>AU5+1</f>
        <v>46102</v>
      </c>
      <c r="AW5" s="27">
        <f>AV5+1</f>
        <v>46103</v>
      </c>
      <c r="AX5" s="28">
        <f>AW5+1</f>
        <v>46104</v>
      </c>
      <c r="AY5" s="26">
        <f>AX5+1</f>
        <v>46105</v>
      </c>
      <c r="AZ5" s="26">
        <f t="shared" ref="AZ5:BD5" si="1">AY5+1</f>
        <v>46106</v>
      </c>
      <c r="BA5" s="26">
        <f t="shared" si="1"/>
        <v>46107</v>
      </c>
      <c r="BB5" s="26">
        <f t="shared" si="1"/>
        <v>46108</v>
      </c>
      <c r="BC5" s="26">
        <f t="shared" si="1"/>
        <v>46109</v>
      </c>
      <c r="BD5" s="27">
        <f t="shared" si="1"/>
        <v>46110</v>
      </c>
      <c r="BE5" s="28">
        <f>BD5+1</f>
        <v>46111</v>
      </c>
      <c r="BF5" s="26">
        <f>BE5+1</f>
        <v>46112</v>
      </c>
      <c r="BG5" s="26">
        <f t="shared" ref="BG5:BI5" si="2">BF5+1</f>
        <v>46113</v>
      </c>
      <c r="BH5" s="26">
        <f t="shared" si="2"/>
        <v>46114</v>
      </c>
      <c r="BI5" s="26">
        <f t="shared" si="2"/>
        <v>46115</v>
      </c>
      <c r="BJ5" s="26">
        <f>BI5+1</f>
        <v>46116</v>
      </c>
      <c r="BK5" s="26">
        <f>BJ5+1</f>
        <v>46117</v>
      </c>
      <c r="BL5" s="28">
        <f>BK5+1</f>
        <v>46118</v>
      </c>
      <c r="BM5" s="26">
        <f>BL5+1</f>
        <v>46119</v>
      </c>
      <c r="BN5" s="26">
        <f t="shared" ref="BN5" si="3">BM5+1</f>
        <v>46120</v>
      </c>
      <c r="BO5" s="26">
        <f t="shared" ref="BO5" si="4">BN5+1</f>
        <v>46121</v>
      </c>
      <c r="BP5" s="26">
        <f t="shared" ref="BP5" si="5">BO5+1</f>
        <v>46122</v>
      </c>
      <c r="BQ5" s="26">
        <f>BP5+1</f>
        <v>46123</v>
      </c>
      <c r="BR5" s="26">
        <f>BQ5+1</f>
        <v>46124</v>
      </c>
      <c r="BS5" s="28">
        <f>BR5+1</f>
        <v>46125</v>
      </c>
      <c r="BT5" s="26">
        <f>BS5+1</f>
        <v>46126</v>
      </c>
      <c r="BU5" s="26">
        <f t="shared" ref="BU5" si="6">BT5+1</f>
        <v>46127</v>
      </c>
      <c r="BV5" s="26">
        <f t="shared" ref="BV5" si="7">BU5+1</f>
        <v>46128</v>
      </c>
      <c r="BW5" s="26">
        <f t="shared" ref="BW5" si="8">BV5+1</f>
        <v>46129</v>
      </c>
      <c r="BX5" s="26">
        <f>BW5+1</f>
        <v>46130</v>
      </c>
      <c r="BY5" s="26">
        <f>BX5+1</f>
        <v>46131</v>
      </c>
      <c r="BZ5" s="28">
        <f>BY5+1</f>
        <v>46132</v>
      </c>
      <c r="CA5" s="26">
        <f>BZ5+1</f>
        <v>46133</v>
      </c>
      <c r="CB5" s="26">
        <f t="shared" ref="CB5" si="9">CA5+1</f>
        <v>46134</v>
      </c>
      <c r="CC5" s="26">
        <f t="shared" ref="CC5" si="10">CB5+1</f>
        <v>46135</v>
      </c>
      <c r="CD5" s="26">
        <f t="shared" ref="CD5" si="11">CC5+1</f>
        <v>46136</v>
      </c>
      <c r="CE5" s="26">
        <f>CD5+1</f>
        <v>46137</v>
      </c>
      <c r="CF5" s="26">
        <f>CE5+1</f>
        <v>46138</v>
      </c>
      <c r="CG5" s="28">
        <f>CF5+1</f>
        <v>46139</v>
      </c>
      <c r="CH5" s="26">
        <f>CG5+1</f>
        <v>46140</v>
      </c>
      <c r="CI5" s="26">
        <f t="shared" ref="CI5" si="12">CH5+1</f>
        <v>46141</v>
      </c>
      <c r="CJ5" s="26">
        <f t="shared" ref="CJ5" si="13">CI5+1</f>
        <v>46142</v>
      </c>
      <c r="CK5" s="26">
        <f t="shared" ref="CK5" si="14">CJ5+1</f>
        <v>46143</v>
      </c>
      <c r="CL5" s="26">
        <f>CK5+1</f>
        <v>46144</v>
      </c>
      <c r="CM5" s="26">
        <f>CL5+1</f>
        <v>46145</v>
      </c>
      <c r="CN5" s="28">
        <f>CM5+1</f>
        <v>46146</v>
      </c>
      <c r="CO5" s="26">
        <f>CN5+1</f>
        <v>46147</v>
      </c>
      <c r="CP5" s="26">
        <f t="shared" ref="CP5" si="15">CO5+1</f>
        <v>46148</v>
      </c>
      <c r="CQ5" s="26">
        <f t="shared" ref="CQ5" si="16">CP5+1</f>
        <v>46149</v>
      </c>
      <c r="CR5" s="26">
        <f t="shared" ref="CR5" si="17">CQ5+1</f>
        <v>46150</v>
      </c>
      <c r="CS5" s="26">
        <f>CR5+1</f>
        <v>46151</v>
      </c>
      <c r="CT5" s="26">
        <f>CS5+1</f>
        <v>46152</v>
      </c>
      <c r="CU5" s="28">
        <f>CT5+1</f>
        <v>46153</v>
      </c>
      <c r="CV5" s="26">
        <f>CU5+1</f>
        <v>46154</v>
      </c>
      <c r="CW5" s="26">
        <f t="shared" ref="CW5" si="18">CV5+1</f>
        <v>46155</v>
      </c>
      <c r="CX5" s="26">
        <f t="shared" ref="CX5" si="19">CW5+1</f>
        <v>46156</v>
      </c>
      <c r="CY5" s="26">
        <f t="shared" ref="CY5" si="20">CX5+1</f>
        <v>46157</v>
      </c>
      <c r="CZ5" s="26">
        <f>CY5+1</f>
        <v>46158</v>
      </c>
      <c r="DA5" s="26">
        <f>CZ5+1</f>
        <v>46159</v>
      </c>
      <c r="DB5" s="28">
        <f>DA5+1</f>
        <v>46160</v>
      </c>
      <c r="DC5" s="26">
        <f>DB5+1</f>
        <v>46161</v>
      </c>
      <c r="DD5" s="26">
        <f t="shared" ref="DD5" si="21">DC5+1</f>
        <v>46162</v>
      </c>
      <c r="DE5" s="26">
        <f t="shared" ref="DE5" si="22">DD5+1</f>
        <v>46163</v>
      </c>
      <c r="DF5" s="26">
        <f t="shared" ref="DF5" si="23">DE5+1</f>
        <v>46164</v>
      </c>
      <c r="DG5" s="26">
        <f>DF5+1</f>
        <v>46165</v>
      </c>
      <c r="DH5" s="26">
        <f>DG5+1</f>
        <v>46166</v>
      </c>
      <c r="DI5" s="28">
        <f>DH5+1</f>
        <v>46167</v>
      </c>
      <c r="DJ5" s="26">
        <f>DI5+1</f>
        <v>46168</v>
      </c>
      <c r="DK5" s="26">
        <f t="shared" ref="DK5" si="24">DJ5+1</f>
        <v>46169</v>
      </c>
      <c r="DL5" s="26">
        <f t="shared" ref="DL5" si="25">DK5+1</f>
        <v>46170</v>
      </c>
      <c r="DM5" s="26">
        <f t="shared" ref="DM5" si="26">DL5+1</f>
        <v>46171</v>
      </c>
      <c r="DN5" s="26">
        <f>DM5+1</f>
        <v>46172</v>
      </c>
      <c r="DO5" s="26">
        <f>DN5+1</f>
        <v>46173</v>
      </c>
    </row>
    <row r="6" spans="1:119" s="22" customFormat="1" ht="15" customHeight="1">
      <c r="A6" s="87"/>
      <c r="B6" s="89"/>
      <c r="C6" s="100"/>
      <c r="D6" s="100"/>
      <c r="E6" s="100"/>
      <c r="H6" s="29" t="str">
        <f t="shared" ref="H6:AM6" si="27">LEFT(TEXT(H5,"ddd"),1)</f>
        <v>s</v>
      </c>
      <c r="I6" s="30" t="str">
        <f t="shared" si="27"/>
        <v>t</v>
      </c>
      <c r="J6" s="30" t="str">
        <f t="shared" si="27"/>
        <v>q</v>
      </c>
      <c r="K6" s="30" t="str">
        <f t="shared" si="27"/>
        <v>q</v>
      </c>
      <c r="L6" s="30" t="str">
        <f t="shared" si="27"/>
        <v>s</v>
      </c>
      <c r="M6" s="30" t="str">
        <f t="shared" si="27"/>
        <v>s</v>
      </c>
      <c r="N6" s="30" t="str">
        <f t="shared" si="27"/>
        <v>d</v>
      </c>
      <c r="O6" s="30" t="str">
        <f t="shared" si="27"/>
        <v>s</v>
      </c>
      <c r="P6" s="30" t="str">
        <f t="shared" si="27"/>
        <v>t</v>
      </c>
      <c r="Q6" s="30" t="str">
        <f t="shared" si="27"/>
        <v>q</v>
      </c>
      <c r="R6" s="30" t="str">
        <f t="shared" si="27"/>
        <v>q</v>
      </c>
      <c r="S6" s="30" t="str">
        <f t="shared" si="27"/>
        <v>s</v>
      </c>
      <c r="T6" s="30" t="str">
        <f t="shared" si="27"/>
        <v>s</v>
      </c>
      <c r="U6" s="30" t="str">
        <f t="shared" si="27"/>
        <v>d</v>
      </c>
      <c r="V6" s="30" t="str">
        <f t="shared" si="27"/>
        <v>s</v>
      </c>
      <c r="W6" s="30" t="str">
        <f t="shared" si="27"/>
        <v>t</v>
      </c>
      <c r="X6" s="30" t="str">
        <f t="shared" si="27"/>
        <v>q</v>
      </c>
      <c r="Y6" s="30" t="str">
        <f t="shared" si="27"/>
        <v>q</v>
      </c>
      <c r="Z6" s="30" t="str">
        <f t="shared" si="27"/>
        <v>s</v>
      </c>
      <c r="AA6" s="30" t="str">
        <f t="shared" si="27"/>
        <v>s</v>
      </c>
      <c r="AB6" s="30" t="str">
        <f t="shared" si="27"/>
        <v>d</v>
      </c>
      <c r="AC6" s="30" t="str">
        <f t="shared" si="27"/>
        <v>s</v>
      </c>
      <c r="AD6" s="30" t="str">
        <f t="shared" si="27"/>
        <v>t</v>
      </c>
      <c r="AE6" s="30" t="str">
        <f t="shared" si="27"/>
        <v>q</v>
      </c>
      <c r="AF6" s="30" t="str">
        <f t="shared" si="27"/>
        <v>q</v>
      </c>
      <c r="AG6" s="30" t="str">
        <f t="shared" si="27"/>
        <v>s</v>
      </c>
      <c r="AH6" s="30" t="str">
        <f t="shared" si="27"/>
        <v>s</v>
      </c>
      <c r="AI6" s="30" t="str">
        <f t="shared" si="27"/>
        <v>d</v>
      </c>
      <c r="AJ6" s="30" t="str">
        <f t="shared" si="27"/>
        <v>s</v>
      </c>
      <c r="AK6" s="30" t="str">
        <f t="shared" si="27"/>
        <v>t</v>
      </c>
      <c r="AL6" s="30" t="str">
        <f t="shared" si="27"/>
        <v>q</v>
      </c>
      <c r="AM6" s="30" t="str">
        <f t="shared" si="27"/>
        <v>q</v>
      </c>
      <c r="AN6" s="30" t="str">
        <f t="shared" ref="AN6:AP6" si="28">LEFT(TEXT(AN5,"ddd"),1)</f>
        <v>s</v>
      </c>
      <c r="AO6" s="30" t="str">
        <f t="shared" si="28"/>
        <v>s</v>
      </c>
      <c r="AP6" s="30" t="str">
        <f t="shared" si="28"/>
        <v>d</v>
      </c>
      <c r="AQ6" s="30" t="str">
        <f>LEFT(TEXT(AQ5,"ddd"),1)</f>
        <v>s</v>
      </c>
      <c r="AR6" s="30" t="str">
        <f>LEFT(TEXT(AR5,"ddd"),1)</f>
        <v>t</v>
      </c>
      <c r="AS6" s="30" t="str">
        <f>LEFT(TEXT(AS5,"ddd"),1)</f>
        <v>q</v>
      </c>
      <c r="AT6" s="30" t="str">
        <f>LEFT(TEXT(AT5,"ddd"),1)</f>
        <v>q</v>
      </c>
      <c r="AU6" s="30" t="str">
        <f>LEFT(TEXT(AU5,"ddd"),1)</f>
        <v>s</v>
      </c>
      <c r="AV6" s="30" t="str">
        <f>LEFT(TEXT(AV5,"ddd"),1)</f>
        <v>s</v>
      </c>
      <c r="AW6" s="30" t="str">
        <f>LEFT(TEXT(AW5,"ddd"),1)</f>
        <v>d</v>
      </c>
      <c r="AX6" s="30" t="str">
        <f>LEFT(TEXT(AX5,"ddd"),1)</f>
        <v>s</v>
      </c>
      <c r="AY6" s="30" t="str">
        <f>LEFT(TEXT(AY5,"ddd"),1)</f>
        <v>t</v>
      </c>
      <c r="AZ6" s="30" t="str">
        <f>LEFT(TEXT(AZ5,"ddd"),1)</f>
        <v>q</v>
      </c>
      <c r="BA6" s="30" t="str">
        <f>LEFT(TEXT(BA5,"ddd"),1)</f>
        <v>q</v>
      </c>
      <c r="BB6" s="30" t="str">
        <f>LEFT(TEXT(BB5,"ddd"),1)</f>
        <v>s</v>
      </c>
      <c r="BC6" s="30" t="str">
        <f>LEFT(TEXT(BC5,"ddd"),1)</f>
        <v>s</v>
      </c>
      <c r="BD6" s="30" t="str">
        <f>LEFT(TEXT(BD5,"ddd"),1)</f>
        <v>d</v>
      </c>
      <c r="BE6" s="30" t="str">
        <f>LEFT(TEXT(BE5,"ddd"),1)</f>
        <v>s</v>
      </c>
      <c r="BF6" s="30" t="str">
        <f>LEFT(TEXT(BF5,"ddd"),1)</f>
        <v>t</v>
      </c>
      <c r="BG6" s="30" t="str">
        <f>LEFT(TEXT(BG5,"ddd"),1)</f>
        <v>q</v>
      </c>
      <c r="BH6" s="30" t="str">
        <f>LEFT(TEXT(BH5,"ddd"),1)</f>
        <v>q</v>
      </c>
      <c r="BI6" s="30" t="str">
        <f>LEFT(TEXT(BI5,"ddd"),1)</f>
        <v>s</v>
      </c>
      <c r="BJ6" s="30" t="str">
        <f>LEFT(TEXT(BJ5,"ddd"),1)</f>
        <v>s</v>
      </c>
      <c r="BK6" s="31" t="str">
        <f>LEFT(TEXT(BK5,"ddd"),1)</f>
        <v>d</v>
      </c>
      <c r="BL6" s="30" t="str">
        <f>LEFT(TEXT(BL5,"ddd"),1)</f>
        <v>s</v>
      </c>
      <c r="BM6" s="30" t="str">
        <f>LEFT(TEXT(BM5,"ddd"),1)</f>
        <v>t</v>
      </c>
      <c r="BN6" s="30" t="str">
        <f>LEFT(TEXT(BN5,"ddd"),1)</f>
        <v>q</v>
      </c>
      <c r="BO6" s="30" t="str">
        <f>LEFT(TEXT(BO5,"ddd"),1)</f>
        <v>q</v>
      </c>
      <c r="BP6" s="30" t="str">
        <f>LEFT(TEXT(BP5,"ddd"),1)</f>
        <v>s</v>
      </c>
      <c r="BQ6" s="30" t="str">
        <f>LEFT(TEXT(BQ5,"ddd"),1)</f>
        <v>s</v>
      </c>
      <c r="BR6" s="31" t="str">
        <f>LEFT(TEXT(BR5,"ddd"),1)</f>
        <v>d</v>
      </c>
      <c r="BS6" s="30" t="str">
        <f>LEFT(TEXT(BS5,"ddd"),1)</f>
        <v>s</v>
      </c>
      <c r="BT6" s="30" t="str">
        <f>LEFT(TEXT(BT5,"ddd"),1)</f>
        <v>t</v>
      </c>
      <c r="BU6" s="30" t="str">
        <f>LEFT(TEXT(BU5,"ddd"),1)</f>
        <v>q</v>
      </c>
      <c r="BV6" s="30" t="str">
        <f>LEFT(TEXT(BV5,"ddd"),1)</f>
        <v>q</v>
      </c>
      <c r="BW6" s="30" t="str">
        <f>LEFT(TEXT(BW5,"ddd"),1)</f>
        <v>s</v>
      </c>
      <c r="BX6" s="30" t="str">
        <f>LEFT(TEXT(BX5,"ddd"),1)</f>
        <v>s</v>
      </c>
      <c r="BY6" s="31" t="str">
        <f>LEFT(TEXT(BY5,"ddd"),1)</f>
        <v>d</v>
      </c>
      <c r="BZ6" s="30" t="str">
        <f>LEFT(TEXT(BZ5,"ddd"),1)</f>
        <v>s</v>
      </c>
      <c r="CA6" s="30" t="str">
        <f>LEFT(TEXT(CA5,"ddd"),1)</f>
        <v>t</v>
      </c>
      <c r="CB6" s="30" t="str">
        <f>LEFT(TEXT(CB5,"ddd"),1)</f>
        <v>q</v>
      </c>
      <c r="CC6" s="30" t="str">
        <f>LEFT(TEXT(CC5,"ddd"),1)</f>
        <v>q</v>
      </c>
      <c r="CD6" s="30" t="str">
        <f>LEFT(TEXT(CD5,"ddd"),1)</f>
        <v>s</v>
      </c>
      <c r="CE6" s="30" t="str">
        <f>LEFT(TEXT(CE5,"ddd"),1)</f>
        <v>s</v>
      </c>
      <c r="CF6" s="31" t="str">
        <f>LEFT(TEXT(CF5,"ddd"),1)</f>
        <v>d</v>
      </c>
      <c r="CG6" s="30" t="str">
        <f>LEFT(TEXT(CG5,"ddd"),1)</f>
        <v>s</v>
      </c>
      <c r="CH6" s="30" t="str">
        <f>LEFT(TEXT(CH5,"ddd"),1)</f>
        <v>t</v>
      </c>
      <c r="CI6" s="30" t="str">
        <f>LEFT(TEXT(CI5,"ddd"),1)</f>
        <v>q</v>
      </c>
      <c r="CJ6" s="30" t="str">
        <f>LEFT(TEXT(CJ5,"ddd"),1)</f>
        <v>q</v>
      </c>
      <c r="CK6" s="30" t="str">
        <f>LEFT(TEXT(CK5,"ddd"),1)</f>
        <v>s</v>
      </c>
      <c r="CL6" s="30" t="str">
        <f>LEFT(TEXT(CL5,"ddd"),1)</f>
        <v>s</v>
      </c>
      <c r="CM6" s="31" t="str">
        <f>LEFT(TEXT(CM5,"ddd"),1)</f>
        <v>d</v>
      </c>
      <c r="CN6" s="30" t="str">
        <f>LEFT(TEXT(CN5,"ddd"),1)</f>
        <v>s</v>
      </c>
      <c r="CO6" s="30" t="str">
        <f>LEFT(TEXT(CO5,"ddd"),1)</f>
        <v>t</v>
      </c>
      <c r="CP6" s="30" t="str">
        <f>LEFT(TEXT(CP5,"ddd"),1)</f>
        <v>q</v>
      </c>
      <c r="CQ6" s="30" t="str">
        <f>LEFT(TEXT(CQ5,"ddd"),1)</f>
        <v>q</v>
      </c>
      <c r="CR6" s="30" t="str">
        <f>LEFT(TEXT(CR5,"ddd"),1)</f>
        <v>s</v>
      </c>
      <c r="CS6" s="30" t="str">
        <f>LEFT(TEXT(CS5,"ddd"),1)</f>
        <v>s</v>
      </c>
      <c r="CT6" s="31" t="str">
        <f>LEFT(TEXT(CT5,"ddd"),1)</f>
        <v>d</v>
      </c>
      <c r="CU6" s="30" t="str">
        <f>LEFT(TEXT(CU5,"ddd"),1)</f>
        <v>s</v>
      </c>
      <c r="CV6" s="30" t="str">
        <f>LEFT(TEXT(CV5,"ddd"),1)</f>
        <v>t</v>
      </c>
      <c r="CW6" s="30" t="str">
        <f>LEFT(TEXT(CW5,"ddd"),1)</f>
        <v>q</v>
      </c>
      <c r="CX6" s="30" t="str">
        <f>LEFT(TEXT(CX5,"ddd"),1)</f>
        <v>q</v>
      </c>
      <c r="CY6" s="30" t="str">
        <f>LEFT(TEXT(CY5,"ddd"),1)</f>
        <v>s</v>
      </c>
      <c r="CZ6" s="30" t="str">
        <f>LEFT(TEXT(CZ5,"ddd"),1)</f>
        <v>s</v>
      </c>
      <c r="DA6" s="31" t="str">
        <f>LEFT(TEXT(DA5,"ddd"),1)</f>
        <v>d</v>
      </c>
      <c r="DB6" s="30" t="str">
        <f>LEFT(TEXT(DB5,"ddd"),1)</f>
        <v>s</v>
      </c>
      <c r="DC6" s="30" t="str">
        <f>LEFT(TEXT(DC5,"ddd"),1)</f>
        <v>t</v>
      </c>
      <c r="DD6" s="30" t="str">
        <f>LEFT(TEXT(DD5,"ddd"),1)</f>
        <v>q</v>
      </c>
      <c r="DE6" s="30" t="str">
        <f>LEFT(TEXT(DE5,"ddd"),1)</f>
        <v>q</v>
      </c>
      <c r="DF6" s="30" t="str">
        <f>LEFT(TEXT(DF5,"ddd"),1)</f>
        <v>s</v>
      </c>
      <c r="DG6" s="30" t="str">
        <f>LEFT(TEXT(DG5,"ddd"),1)</f>
        <v>s</v>
      </c>
      <c r="DH6" s="31" t="str">
        <f>LEFT(TEXT(DH5,"ddd"),1)</f>
        <v>d</v>
      </c>
      <c r="DI6" s="30" t="str">
        <f>LEFT(TEXT(DI5,"ddd"),1)</f>
        <v>s</v>
      </c>
      <c r="DJ6" s="30" t="str">
        <f>LEFT(TEXT(DJ5,"ddd"),1)</f>
        <v>t</v>
      </c>
      <c r="DK6" s="30" t="str">
        <f>LEFT(TEXT(DK5,"ddd"),1)</f>
        <v>q</v>
      </c>
      <c r="DL6" s="30" t="str">
        <f>LEFT(TEXT(DL5,"ddd"),1)</f>
        <v>q</v>
      </c>
      <c r="DM6" s="30" t="str">
        <f>LEFT(TEXT(DM5,"ddd"),1)</f>
        <v>s</v>
      </c>
      <c r="DN6" s="30" t="str">
        <f>LEFT(TEXT(DN5,"ddd"),1)</f>
        <v>s</v>
      </c>
      <c r="DO6" s="31" t="str">
        <f>LEFT(TEXT(DO5,"ddd"),1)</f>
        <v>d</v>
      </c>
    </row>
    <row r="7" spans="1:119" s="22" customFormat="1" ht="30" hidden="1" customHeight="1">
      <c r="A7" s="13" t="s">
        <v>8</v>
      </c>
      <c r="B7" s="32"/>
      <c r="C7" s="33"/>
      <c r="D7" s="32"/>
      <c r="E7" s="32"/>
      <c r="G7" s="22" t="str">
        <f ca="1">IF(OR(ISBLANK(task_start),ISBLANK(task_end)),"",task_end-task_start+1)</f>
        <v/>
      </c>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row>
    <row r="8" spans="1:119" s="36" customFormat="1" ht="30" customHeight="1">
      <c r="A8" s="14"/>
      <c r="B8" s="75" t="s">
        <v>9</v>
      </c>
      <c r="C8" s="76"/>
      <c r="D8" s="77"/>
      <c r="E8" s="77"/>
      <c r="F8" s="17"/>
      <c r="G8" s="5" t="str">
        <f t="shared" ref="G8:G31" ca="1" si="29">IF(OR(ISBLANK(task_start),ISBLANK(task_end)),"",task_end-task_start+1)</f>
        <v/>
      </c>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row>
    <row r="9" spans="1:119" s="36" customFormat="1" ht="30" customHeight="1">
      <c r="A9" s="14"/>
      <c r="B9" s="78" t="s">
        <v>10</v>
      </c>
      <c r="C9" s="79" t="s">
        <v>11</v>
      </c>
      <c r="D9" s="80">
        <f>Project_Start</f>
        <v>46062</v>
      </c>
      <c r="E9" s="80">
        <v>46064</v>
      </c>
      <c r="F9" s="17"/>
      <c r="G9" s="5">
        <f t="shared" ca="1" si="29"/>
        <v>3</v>
      </c>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row>
    <row r="10" spans="1:119" s="36" customFormat="1" ht="30" customHeight="1">
      <c r="A10" s="14"/>
      <c r="B10" s="78" t="s">
        <v>12</v>
      </c>
      <c r="C10" s="79" t="s">
        <v>13</v>
      </c>
      <c r="D10" s="80">
        <f>Project_Start</f>
        <v>46062</v>
      </c>
      <c r="E10" s="80">
        <v>46065</v>
      </c>
      <c r="F10" s="17"/>
      <c r="G10" s="5">
        <f t="shared" ca="1" si="29"/>
        <v>4</v>
      </c>
      <c r="H10" s="37"/>
      <c r="I10" s="37"/>
      <c r="J10" s="37"/>
      <c r="K10" s="37"/>
      <c r="L10" s="37"/>
      <c r="M10" s="37"/>
      <c r="N10" s="37"/>
      <c r="O10" s="37"/>
      <c r="P10" s="37"/>
      <c r="Q10" s="37"/>
      <c r="R10" s="37"/>
      <c r="S10" s="37"/>
      <c r="T10" s="38"/>
      <c r="U10" s="38"/>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row>
    <row r="11" spans="1:119" s="36" customFormat="1" ht="30" customHeight="1">
      <c r="A11" s="13"/>
      <c r="B11" s="78" t="s">
        <v>14</v>
      </c>
      <c r="C11" s="79" t="s">
        <v>15</v>
      </c>
      <c r="D11" s="80">
        <f>Project_Start</f>
        <v>46062</v>
      </c>
      <c r="E11" s="80">
        <v>46065</v>
      </c>
      <c r="F11" s="17"/>
      <c r="G11" s="5">
        <f t="shared" ca="1" si="29"/>
        <v>4</v>
      </c>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row>
    <row r="12" spans="1:119" s="36" customFormat="1" ht="30" customHeight="1">
      <c r="A12" s="13"/>
      <c r="B12" s="78" t="s">
        <v>16</v>
      </c>
      <c r="C12" s="79" t="s">
        <v>17</v>
      </c>
      <c r="D12" s="80">
        <v>46064</v>
      </c>
      <c r="E12" s="80">
        <v>46070</v>
      </c>
      <c r="F12" s="17"/>
      <c r="G12" s="5">
        <f t="shared" ca="1" si="29"/>
        <v>7</v>
      </c>
      <c r="H12" s="37"/>
      <c r="I12" s="37"/>
      <c r="J12" s="37"/>
      <c r="K12" s="37"/>
      <c r="L12" s="37"/>
      <c r="M12" s="37"/>
      <c r="N12" s="37"/>
      <c r="O12" s="37"/>
      <c r="P12" s="37"/>
      <c r="Q12" s="37"/>
      <c r="R12" s="37"/>
      <c r="S12" s="37"/>
      <c r="T12" s="37"/>
      <c r="U12" s="37"/>
      <c r="V12" s="37"/>
      <c r="W12" s="37"/>
      <c r="X12" s="38"/>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row>
    <row r="13" spans="1:119" s="36" customFormat="1" ht="30" customHeight="1">
      <c r="A13" s="13"/>
      <c r="B13" s="78" t="s">
        <v>18</v>
      </c>
      <c r="C13" s="79" t="s">
        <v>19</v>
      </c>
      <c r="D13" s="80">
        <v>46067</v>
      </c>
      <c r="E13" s="80">
        <v>46074</v>
      </c>
      <c r="F13" s="17"/>
      <c r="G13" s="5">
        <f t="shared" ca="1" si="29"/>
        <v>8</v>
      </c>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row>
    <row r="14" spans="1:119" s="36" customFormat="1" ht="30" customHeight="1">
      <c r="A14" s="13"/>
      <c r="B14" s="78" t="s">
        <v>20</v>
      </c>
      <c r="C14" s="79" t="s">
        <v>11</v>
      </c>
      <c r="D14" s="80">
        <v>46070</v>
      </c>
      <c r="E14" s="80">
        <v>46077</v>
      </c>
      <c r="F14" s="17"/>
      <c r="G14" s="5"/>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row>
    <row r="15" spans="1:119" s="36" customFormat="1" ht="30" customHeight="1">
      <c r="A15" s="14"/>
      <c r="B15" s="61" t="s">
        <v>21</v>
      </c>
      <c r="C15" s="62"/>
      <c r="D15" s="63"/>
      <c r="E15" s="64"/>
      <c r="F15" s="17"/>
      <c r="G15" s="5" t="str">
        <f t="shared" ca="1" si="29"/>
        <v/>
      </c>
    </row>
    <row r="16" spans="1:119" s="36" customFormat="1" ht="30" customHeight="1">
      <c r="A16" s="14"/>
      <c r="B16" s="65" t="s">
        <v>22</v>
      </c>
      <c r="C16" s="66" t="s">
        <v>13</v>
      </c>
      <c r="D16" s="67">
        <v>46083</v>
      </c>
      <c r="E16" s="67">
        <v>46090</v>
      </c>
      <c r="F16" s="17"/>
      <c r="G16" s="5">
        <f t="shared" ca="1" si="29"/>
        <v>8</v>
      </c>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row>
    <row r="17" spans="1:119" s="36" customFormat="1" ht="30" customHeight="1">
      <c r="A17" s="13"/>
      <c r="B17" s="65" t="s">
        <v>23</v>
      </c>
      <c r="C17" s="66" t="s">
        <v>15</v>
      </c>
      <c r="D17" s="67">
        <v>46085</v>
      </c>
      <c r="E17" s="67">
        <v>46098</v>
      </c>
      <c r="F17" s="17"/>
      <c r="G17" s="5">
        <f t="shared" ca="1" si="29"/>
        <v>14</v>
      </c>
      <c r="H17" s="37"/>
      <c r="I17" s="37"/>
      <c r="J17" s="37"/>
      <c r="K17" s="37"/>
      <c r="L17" s="37"/>
      <c r="M17" s="37"/>
      <c r="N17" s="37"/>
      <c r="O17" s="37"/>
      <c r="P17" s="37"/>
      <c r="Q17" s="37"/>
      <c r="R17" s="37"/>
      <c r="S17" s="37"/>
      <c r="T17" s="38"/>
      <c r="U17" s="38"/>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row>
    <row r="18" spans="1:119" s="36" customFormat="1" ht="30" customHeight="1">
      <c r="A18" s="13"/>
      <c r="B18" s="65" t="s">
        <v>24</v>
      </c>
      <c r="C18" s="66" t="s">
        <v>17</v>
      </c>
      <c r="D18" s="67">
        <v>46092</v>
      </c>
      <c r="E18" s="67">
        <v>46097</v>
      </c>
      <c r="F18" s="17"/>
      <c r="G18" s="5">
        <f t="shared" ca="1" si="29"/>
        <v>6</v>
      </c>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row>
    <row r="19" spans="1:119" s="36" customFormat="1" ht="30" customHeight="1">
      <c r="A19" s="13"/>
      <c r="B19" s="65" t="s">
        <v>25</v>
      </c>
      <c r="C19" s="66" t="s">
        <v>19</v>
      </c>
      <c r="D19" s="67">
        <v>46099</v>
      </c>
      <c r="E19" s="67">
        <v>46104</v>
      </c>
      <c r="F19" s="17"/>
      <c r="G19" s="5">
        <f t="shared" ca="1" si="29"/>
        <v>6</v>
      </c>
      <c r="H19" s="37"/>
      <c r="I19" s="37"/>
      <c r="J19" s="37"/>
      <c r="K19" s="37"/>
      <c r="L19" s="37"/>
      <c r="M19" s="37"/>
      <c r="N19" s="37"/>
      <c r="O19" s="37"/>
      <c r="P19" s="37"/>
      <c r="Q19" s="37"/>
      <c r="R19" s="37"/>
      <c r="S19" s="37"/>
      <c r="T19" s="37"/>
      <c r="U19" s="37"/>
      <c r="V19" s="37"/>
      <c r="W19" s="37"/>
      <c r="X19" s="38"/>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row>
    <row r="20" spans="1:119" s="36" customFormat="1" ht="30" customHeight="1">
      <c r="A20" s="13"/>
      <c r="B20" s="68" t="s">
        <v>26</v>
      </c>
      <c r="C20" s="69"/>
      <c r="D20" s="70"/>
      <c r="E20" s="71"/>
      <c r="F20" s="17"/>
      <c r="G20" s="5" t="str">
        <f t="shared" ca="1" si="29"/>
        <v/>
      </c>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row>
    <row r="21" spans="1:119" s="36" customFormat="1" ht="30" customHeight="1">
      <c r="A21" s="13"/>
      <c r="B21" s="72" t="s">
        <v>27</v>
      </c>
      <c r="C21" s="73" t="s">
        <v>11</v>
      </c>
      <c r="D21" s="74">
        <v>46104</v>
      </c>
      <c r="E21" s="74">
        <v>46106</v>
      </c>
      <c r="F21" s="17"/>
      <c r="G21" s="5">
        <f t="shared" ca="1" si="29"/>
        <v>3</v>
      </c>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row>
    <row r="22" spans="1:119" s="36" customFormat="1" ht="30" customHeight="1">
      <c r="A22" s="13"/>
      <c r="B22" s="72" t="s">
        <v>28</v>
      </c>
      <c r="C22" s="73" t="s">
        <v>13</v>
      </c>
      <c r="D22" s="74">
        <v>46106</v>
      </c>
      <c r="E22" s="74">
        <v>46114</v>
      </c>
      <c r="F22" s="17"/>
      <c r="G22" s="5">
        <f t="shared" ca="1" si="29"/>
        <v>9</v>
      </c>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row>
    <row r="23" spans="1:119" s="36" customFormat="1" ht="30" customHeight="1">
      <c r="A23" s="13"/>
      <c r="B23" s="72" t="s">
        <v>29</v>
      </c>
      <c r="C23" s="73" t="s">
        <v>15</v>
      </c>
      <c r="D23" s="74">
        <v>46106</v>
      </c>
      <c r="E23" s="74">
        <v>46114</v>
      </c>
      <c r="F23" s="17"/>
      <c r="G23" s="5">
        <f t="shared" ca="1" si="29"/>
        <v>9</v>
      </c>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row>
    <row r="24" spans="1:119" s="36" customFormat="1" ht="30" customHeight="1">
      <c r="A24" s="13"/>
      <c r="B24" s="72" t="s">
        <v>30</v>
      </c>
      <c r="C24" s="73" t="s">
        <v>17</v>
      </c>
      <c r="D24" s="74">
        <v>46106</v>
      </c>
      <c r="E24" s="74">
        <v>46114</v>
      </c>
      <c r="F24" s="17"/>
      <c r="G24" s="5">
        <f t="shared" ca="1" si="29"/>
        <v>9</v>
      </c>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row>
    <row r="25" spans="1:119" s="36" customFormat="1" ht="30" customHeight="1">
      <c r="A25" s="13"/>
      <c r="B25" s="72" t="s">
        <v>31</v>
      </c>
      <c r="C25" s="73" t="s">
        <v>19</v>
      </c>
      <c r="D25" s="74">
        <v>46111</v>
      </c>
      <c r="E25" s="74">
        <v>46125</v>
      </c>
      <c r="F25" s="17"/>
      <c r="G25" s="5">
        <f t="shared" ca="1" si="29"/>
        <v>15</v>
      </c>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row>
    <row r="26" spans="1:119" s="36" customFormat="1" ht="30" customHeight="1">
      <c r="A26" s="13"/>
      <c r="B26" s="81" t="s">
        <v>32</v>
      </c>
      <c r="C26" s="82"/>
      <c r="D26" s="83"/>
      <c r="E26" s="84"/>
      <c r="F26" s="17"/>
      <c r="G26" s="5" t="str">
        <f t="shared" ca="1" si="29"/>
        <v/>
      </c>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row>
    <row r="27" spans="1:119" s="36" customFormat="1" ht="30" customHeight="1">
      <c r="A27" s="13"/>
      <c r="B27" s="41" t="s">
        <v>33</v>
      </c>
      <c r="C27" s="42" t="s">
        <v>11</v>
      </c>
      <c r="D27" s="43">
        <v>46125</v>
      </c>
      <c r="E27" s="43">
        <v>46132</v>
      </c>
      <c r="F27" s="17"/>
      <c r="G27" s="5">
        <f t="shared" ca="1" si="29"/>
        <v>8</v>
      </c>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row>
    <row r="28" spans="1:119" s="36" customFormat="1" ht="30" customHeight="1">
      <c r="A28" s="13"/>
      <c r="B28" s="41" t="s">
        <v>34</v>
      </c>
      <c r="C28" s="42" t="s">
        <v>13</v>
      </c>
      <c r="D28" s="43">
        <v>46133</v>
      </c>
      <c r="E28" s="43">
        <v>46139</v>
      </c>
      <c r="F28" s="17"/>
      <c r="G28" s="5">
        <f t="shared" ca="1" si="29"/>
        <v>7</v>
      </c>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row>
    <row r="29" spans="1:119" s="36" customFormat="1" ht="30" customHeight="1">
      <c r="A29" s="13"/>
      <c r="B29" s="41" t="s">
        <v>35</v>
      </c>
      <c r="C29" s="42" t="s">
        <v>15</v>
      </c>
      <c r="D29" s="43">
        <v>46134</v>
      </c>
      <c r="E29" s="43">
        <v>46142</v>
      </c>
      <c r="F29" s="17"/>
      <c r="G29" s="5">
        <f t="shared" ca="1" si="29"/>
        <v>9</v>
      </c>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row>
    <row r="30" spans="1:119" s="36" customFormat="1" ht="30" customHeight="1">
      <c r="A30" s="13"/>
      <c r="B30" s="44"/>
      <c r="C30" s="45"/>
      <c r="D30" s="46"/>
      <c r="E30" s="46"/>
      <c r="F30" s="17"/>
      <c r="G30" s="5" t="str">
        <f t="shared" ca="1" si="29"/>
        <v/>
      </c>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row>
    <row r="31" spans="1:119" s="36" customFormat="1" ht="30" customHeight="1">
      <c r="A31" s="14"/>
      <c r="B31" s="47" t="s">
        <v>36</v>
      </c>
      <c r="C31" s="48"/>
      <c r="D31" s="49"/>
      <c r="E31" s="50"/>
      <c r="F31" s="17"/>
      <c r="G31" s="6" t="str">
        <f t="shared" ca="1" si="29"/>
        <v/>
      </c>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row>
    <row r="32" spans="1:119" ht="30" customHeight="1">
      <c r="F32" s="3"/>
    </row>
    <row r="33" spans="3:5" ht="30" customHeight="1">
      <c r="C33" s="16"/>
      <c r="E33" s="15"/>
    </row>
    <row r="34" spans="3:5" ht="30" customHeight="1">
      <c r="C34" s="4"/>
    </row>
  </sheetData>
  <mergeCells count="26">
    <mergeCell ref="P2:Y2"/>
    <mergeCell ref="P1:Y1"/>
    <mergeCell ref="H1:N1"/>
    <mergeCell ref="H2:N2"/>
    <mergeCell ref="B1:E1"/>
    <mergeCell ref="BL4:BR4"/>
    <mergeCell ref="CG4:CM4"/>
    <mergeCell ref="A5:A6"/>
    <mergeCell ref="B5:B6"/>
    <mergeCell ref="C5:C6"/>
    <mergeCell ref="D5:D6"/>
    <mergeCell ref="E5:E6"/>
    <mergeCell ref="BE4:BK4"/>
    <mergeCell ref="H4:N4"/>
    <mergeCell ref="O4:U4"/>
    <mergeCell ref="V4:AB4"/>
    <mergeCell ref="AC4:AI4"/>
    <mergeCell ref="AJ4:AP4"/>
    <mergeCell ref="AQ4:AW4"/>
    <mergeCell ref="AX4:BD4"/>
    <mergeCell ref="CN4:CT4"/>
    <mergeCell ref="CU4:DA4"/>
    <mergeCell ref="DB4:DH4"/>
    <mergeCell ref="DI4:DO4"/>
    <mergeCell ref="BS4:BY4"/>
    <mergeCell ref="BZ4:CF4"/>
  </mergeCells>
  <conditionalFormatting sqref="H9:BK14">
    <cfRule type="expression" dxfId="71" priority="70">
      <formula>AND(task_start&lt;=H$5,ROUNDDOWN((task_end-task_start+1)*task_progress,0)+task_start-1&gt;=H$5)</formula>
    </cfRule>
    <cfRule type="expression" dxfId="70" priority="71" stopIfTrue="1">
      <formula>AND(task_end&gt;=H$5,task_start&lt;I$5)</formula>
    </cfRule>
  </conditionalFormatting>
  <conditionalFormatting sqref="H16:BK19">
    <cfRule type="expression" dxfId="69" priority="68">
      <formula>AND(task_start&lt;=H$5,ROUNDDOWN((task_end-task_start+1)*task_progress,0)+task_start-1&gt;=H$5)</formula>
    </cfRule>
    <cfRule type="expression" dxfId="68" priority="69" stopIfTrue="1">
      <formula>AND(task_end&gt;=H$5,task_start&lt;I$5)</formula>
    </cfRule>
  </conditionalFormatting>
  <conditionalFormatting sqref="H21:BK25">
    <cfRule type="expression" dxfId="67" priority="66">
      <formula>AND(task_start&lt;=H$5,ROUNDDOWN((task_end-task_start+1)*task_progress,0)+task_start-1&gt;=H$5)</formula>
    </cfRule>
    <cfRule type="expression" dxfId="66" priority="67" stopIfTrue="1">
      <formula>AND(task_end&gt;=H$5,task_start&lt;I$5)</formula>
    </cfRule>
  </conditionalFormatting>
  <conditionalFormatting sqref="H27:BK29">
    <cfRule type="expression" dxfId="65" priority="100">
      <formula>AND(task_start&lt;=H$5,ROUNDDOWN((task_end-task_start+1)*task_progress,0)+task_start-1&gt;=H$5)</formula>
    </cfRule>
    <cfRule type="expression" dxfId="64" priority="101" stopIfTrue="1">
      <formula>AND(task_end&gt;=H$5,task_start&lt;I$5)</formula>
    </cfRule>
  </conditionalFormatting>
  <conditionalFormatting sqref="BL9:BR14">
    <cfRule type="expression" dxfId="63" priority="61">
      <formula>AND(task_start&lt;=BL$5,ROUNDDOWN((task_end-task_start+1)*task_progress,0)+task_start-1&gt;=BL$5)</formula>
    </cfRule>
    <cfRule type="expression" dxfId="62" priority="62" stopIfTrue="1">
      <formula>AND(task_end&gt;=BL$5,task_start&lt;BM$5)</formula>
    </cfRule>
  </conditionalFormatting>
  <conditionalFormatting sqref="BL16:BR19">
    <cfRule type="expression" dxfId="61" priority="59">
      <formula>AND(task_start&lt;=BL$5,ROUNDDOWN((task_end-task_start+1)*task_progress,0)+task_start-1&gt;=BL$5)</formula>
    </cfRule>
    <cfRule type="expression" dxfId="60" priority="60" stopIfTrue="1">
      <formula>AND(task_end&gt;=BL$5,task_start&lt;BM$5)</formula>
    </cfRule>
  </conditionalFormatting>
  <conditionalFormatting sqref="BL21:BR25">
    <cfRule type="expression" dxfId="59" priority="57">
      <formula>AND(task_start&lt;=BL$5,ROUNDDOWN((task_end-task_start+1)*task_progress,0)+task_start-1&gt;=BL$5)</formula>
    </cfRule>
    <cfRule type="expression" dxfId="58" priority="58" stopIfTrue="1">
      <formula>AND(task_end&gt;=BL$5,task_start&lt;BM$5)</formula>
    </cfRule>
  </conditionalFormatting>
  <conditionalFormatting sqref="BL27:BR29">
    <cfRule type="expression" dxfId="57" priority="63">
      <formula>AND(task_start&lt;=BL$5,ROUNDDOWN((task_end-task_start+1)*task_progress,0)+task_start-1&gt;=BL$5)</formula>
    </cfRule>
    <cfRule type="expression" dxfId="56" priority="64" stopIfTrue="1">
      <formula>AND(task_end&gt;=BL$5,task_start&lt;BM$5)</formula>
    </cfRule>
  </conditionalFormatting>
  <conditionalFormatting sqref="BS9:BY14">
    <cfRule type="expression" dxfId="55" priority="53">
      <formula>AND(task_start&lt;=BS$5,ROUNDDOWN((task_end-task_start+1)*task_progress,0)+task_start-1&gt;=BS$5)</formula>
    </cfRule>
    <cfRule type="expression" dxfId="54" priority="54" stopIfTrue="1">
      <formula>AND(task_end&gt;=BS$5,task_start&lt;BT$5)</formula>
    </cfRule>
  </conditionalFormatting>
  <conditionalFormatting sqref="BS16:BY19">
    <cfRule type="expression" dxfId="53" priority="51">
      <formula>AND(task_start&lt;=BS$5,ROUNDDOWN((task_end-task_start+1)*task_progress,0)+task_start-1&gt;=BS$5)</formula>
    </cfRule>
    <cfRule type="expression" dxfId="52" priority="52" stopIfTrue="1">
      <formula>AND(task_end&gt;=BS$5,task_start&lt;BT$5)</formula>
    </cfRule>
  </conditionalFormatting>
  <conditionalFormatting sqref="BS21:BY25">
    <cfRule type="expression" dxfId="51" priority="49">
      <formula>AND(task_start&lt;=BS$5,ROUNDDOWN((task_end-task_start+1)*task_progress,0)+task_start-1&gt;=BS$5)</formula>
    </cfRule>
    <cfRule type="expression" dxfId="50" priority="50" stopIfTrue="1">
      <formula>AND(task_end&gt;=BS$5,task_start&lt;BT$5)</formula>
    </cfRule>
  </conditionalFormatting>
  <conditionalFormatting sqref="BS27:BY29">
    <cfRule type="expression" dxfId="49" priority="55">
      <formula>AND(task_start&lt;=BS$5,ROUNDDOWN((task_end-task_start+1)*task_progress,0)+task_start-1&gt;=BS$5)</formula>
    </cfRule>
    <cfRule type="expression" dxfId="48" priority="56" stopIfTrue="1">
      <formula>AND(task_end&gt;=BS$5,task_start&lt;BT$5)</formula>
    </cfRule>
  </conditionalFormatting>
  <conditionalFormatting sqref="BZ9:CF14">
    <cfRule type="expression" dxfId="47" priority="45">
      <formula>AND(task_start&lt;=BZ$5,ROUNDDOWN((task_end-task_start+1)*task_progress,0)+task_start-1&gt;=BZ$5)</formula>
    </cfRule>
    <cfRule type="expression" dxfId="46" priority="46" stopIfTrue="1">
      <formula>AND(task_end&gt;=BZ$5,task_start&lt;CA$5)</formula>
    </cfRule>
  </conditionalFormatting>
  <conditionalFormatting sqref="BZ16:CF19">
    <cfRule type="expression" dxfId="45" priority="43">
      <formula>AND(task_start&lt;=BZ$5,ROUNDDOWN((task_end-task_start+1)*task_progress,0)+task_start-1&gt;=BZ$5)</formula>
    </cfRule>
    <cfRule type="expression" dxfId="44" priority="44" stopIfTrue="1">
      <formula>AND(task_end&gt;=BZ$5,task_start&lt;CA$5)</formula>
    </cfRule>
  </conditionalFormatting>
  <conditionalFormatting sqref="BZ21:CF25">
    <cfRule type="expression" dxfId="43" priority="41">
      <formula>AND(task_start&lt;=BZ$5,ROUNDDOWN((task_end-task_start+1)*task_progress,0)+task_start-1&gt;=BZ$5)</formula>
    </cfRule>
    <cfRule type="expression" dxfId="42" priority="42" stopIfTrue="1">
      <formula>AND(task_end&gt;=BZ$5,task_start&lt;CA$5)</formula>
    </cfRule>
  </conditionalFormatting>
  <conditionalFormatting sqref="BZ27:CF29">
    <cfRule type="expression" dxfId="41" priority="47">
      <formula>AND(task_start&lt;=BZ$5,ROUNDDOWN((task_end-task_start+1)*task_progress,0)+task_start-1&gt;=BZ$5)</formula>
    </cfRule>
    <cfRule type="expression" dxfId="40" priority="48" stopIfTrue="1">
      <formula>AND(task_end&gt;=BZ$5,task_start&lt;CA$5)</formula>
    </cfRule>
  </conditionalFormatting>
  <conditionalFormatting sqref="CG9:CM14">
    <cfRule type="expression" dxfId="39" priority="37">
      <formula>AND(task_start&lt;=CG$5,ROUNDDOWN((task_end-task_start+1)*task_progress,0)+task_start-1&gt;=CG$5)</formula>
    </cfRule>
    <cfRule type="expression" dxfId="38" priority="38" stopIfTrue="1">
      <formula>AND(task_end&gt;=CG$5,task_start&lt;CH$5)</formula>
    </cfRule>
  </conditionalFormatting>
  <conditionalFormatting sqref="CG16:CM19">
    <cfRule type="expression" dxfId="37" priority="35">
      <formula>AND(task_start&lt;=CG$5,ROUNDDOWN((task_end-task_start+1)*task_progress,0)+task_start-1&gt;=CG$5)</formula>
    </cfRule>
    <cfRule type="expression" dxfId="36" priority="36" stopIfTrue="1">
      <formula>AND(task_end&gt;=CG$5,task_start&lt;CH$5)</formula>
    </cfRule>
  </conditionalFormatting>
  <conditionalFormatting sqref="CG21:CM25">
    <cfRule type="expression" dxfId="35" priority="33">
      <formula>AND(task_start&lt;=CG$5,ROUNDDOWN((task_end-task_start+1)*task_progress,0)+task_start-1&gt;=CG$5)</formula>
    </cfRule>
    <cfRule type="expression" dxfId="34" priority="34" stopIfTrue="1">
      <formula>AND(task_end&gt;=CG$5,task_start&lt;CH$5)</formula>
    </cfRule>
  </conditionalFormatting>
  <conditionalFormatting sqref="CG27:CM29">
    <cfRule type="expression" dxfId="33" priority="39">
      <formula>AND(task_start&lt;=CG$5,ROUNDDOWN((task_end-task_start+1)*task_progress,0)+task_start-1&gt;=CG$5)</formula>
    </cfRule>
    <cfRule type="expression" dxfId="32" priority="40" stopIfTrue="1">
      <formula>AND(task_end&gt;=CG$5,task_start&lt;CH$5)</formula>
    </cfRule>
  </conditionalFormatting>
  <conditionalFormatting sqref="CN9:CT14">
    <cfRule type="expression" dxfId="31" priority="29">
      <formula>AND(task_start&lt;=CN$5,ROUNDDOWN((task_end-task_start+1)*task_progress,0)+task_start-1&gt;=CN$5)</formula>
    </cfRule>
    <cfRule type="expression" dxfId="30" priority="30" stopIfTrue="1">
      <formula>AND(task_end&gt;=CN$5,task_start&lt;CO$5)</formula>
    </cfRule>
  </conditionalFormatting>
  <conditionalFormatting sqref="CN16:CT19">
    <cfRule type="expression" dxfId="29" priority="27">
      <formula>AND(task_start&lt;=CN$5,ROUNDDOWN((task_end-task_start+1)*task_progress,0)+task_start-1&gt;=CN$5)</formula>
    </cfRule>
    <cfRule type="expression" dxfId="28" priority="28" stopIfTrue="1">
      <formula>AND(task_end&gt;=CN$5,task_start&lt;CO$5)</formula>
    </cfRule>
  </conditionalFormatting>
  <conditionalFormatting sqref="CN21:CT25">
    <cfRule type="expression" dxfId="27" priority="25">
      <formula>AND(task_start&lt;=CN$5,ROUNDDOWN((task_end-task_start+1)*task_progress,0)+task_start-1&gt;=CN$5)</formula>
    </cfRule>
    <cfRule type="expression" dxfId="26" priority="26" stopIfTrue="1">
      <formula>AND(task_end&gt;=CN$5,task_start&lt;CO$5)</formula>
    </cfRule>
  </conditionalFormatting>
  <conditionalFormatting sqref="CN27:CT29">
    <cfRule type="expression" dxfId="25" priority="31">
      <formula>AND(task_start&lt;=CN$5,ROUNDDOWN((task_end-task_start+1)*task_progress,0)+task_start-1&gt;=CN$5)</formula>
    </cfRule>
    <cfRule type="expression" dxfId="24" priority="32" stopIfTrue="1">
      <formula>AND(task_end&gt;=CN$5,task_start&lt;CO$5)</formula>
    </cfRule>
  </conditionalFormatting>
  <conditionalFormatting sqref="CU9:DA14">
    <cfRule type="expression" dxfId="23" priority="21">
      <formula>AND(task_start&lt;=CU$5,ROUNDDOWN((task_end-task_start+1)*task_progress,0)+task_start-1&gt;=CU$5)</formula>
    </cfRule>
    <cfRule type="expression" dxfId="22" priority="22" stopIfTrue="1">
      <formula>AND(task_end&gt;=CU$5,task_start&lt;CV$5)</formula>
    </cfRule>
  </conditionalFormatting>
  <conditionalFormatting sqref="CU16:DA19">
    <cfRule type="expression" dxfId="21" priority="19">
      <formula>AND(task_start&lt;=CU$5,ROUNDDOWN((task_end-task_start+1)*task_progress,0)+task_start-1&gt;=CU$5)</formula>
    </cfRule>
    <cfRule type="expression" dxfId="20" priority="20" stopIfTrue="1">
      <formula>AND(task_end&gt;=CU$5,task_start&lt;CV$5)</formula>
    </cfRule>
  </conditionalFormatting>
  <conditionalFormatting sqref="CU21:DA25">
    <cfRule type="expression" dxfId="19" priority="17">
      <formula>AND(task_start&lt;=CU$5,ROUNDDOWN((task_end-task_start+1)*task_progress,0)+task_start-1&gt;=CU$5)</formula>
    </cfRule>
    <cfRule type="expression" dxfId="18" priority="18" stopIfTrue="1">
      <formula>AND(task_end&gt;=CU$5,task_start&lt;CV$5)</formula>
    </cfRule>
  </conditionalFormatting>
  <conditionalFormatting sqref="CU27:DA29">
    <cfRule type="expression" dxfId="17" priority="23">
      <formula>AND(task_start&lt;=CU$5,ROUNDDOWN((task_end-task_start+1)*task_progress,0)+task_start-1&gt;=CU$5)</formula>
    </cfRule>
    <cfRule type="expression" dxfId="16" priority="24" stopIfTrue="1">
      <formula>AND(task_end&gt;=CU$5,task_start&lt;CV$5)</formula>
    </cfRule>
  </conditionalFormatting>
  <conditionalFormatting sqref="DB9:DH14">
    <cfRule type="expression" dxfId="15" priority="13">
      <formula>AND(task_start&lt;=DB$5,ROUNDDOWN((task_end-task_start+1)*task_progress,0)+task_start-1&gt;=DB$5)</formula>
    </cfRule>
    <cfRule type="expression" dxfId="14" priority="14" stopIfTrue="1">
      <formula>AND(task_end&gt;=DB$5,task_start&lt;DC$5)</formula>
    </cfRule>
  </conditionalFormatting>
  <conditionalFormatting sqref="DB16:DH19">
    <cfRule type="expression" dxfId="13" priority="11">
      <formula>AND(task_start&lt;=DB$5,ROUNDDOWN((task_end-task_start+1)*task_progress,0)+task_start-1&gt;=DB$5)</formula>
    </cfRule>
    <cfRule type="expression" dxfId="12" priority="12" stopIfTrue="1">
      <formula>AND(task_end&gt;=DB$5,task_start&lt;DC$5)</formula>
    </cfRule>
  </conditionalFormatting>
  <conditionalFormatting sqref="DB21:DH25">
    <cfRule type="expression" dxfId="11" priority="9">
      <formula>AND(task_start&lt;=DB$5,ROUNDDOWN((task_end-task_start+1)*task_progress,0)+task_start-1&gt;=DB$5)</formula>
    </cfRule>
    <cfRule type="expression" dxfId="10" priority="10" stopIfTrue="1">
      <formula>AND(task_end&gt;=DB$5,task_start&lt;DC$5)</formula>
    </cfRule>
  </conditionalFormatting>
  <conditionalFormatting sqref="DB27:DH29">
    <cfRule type="expression" dxfId="9" priority="15">
      <formula>AND(task_start&lt;=DB$5,ROUNDDOWN((task_end-task_start+1)*task_progress,0)+task_start-1&gt;=DB$5)</formula>
    </cfRule>
    <cfRule type="expression" dxfId="8" priority="16" stopIfTrue="1">
      <formula>AND(task_end&gt;=DB$5,task_start&lt;DC$5)</formula>
    </cfRule>
  </conditionalFormatting>
  <conditionalFormatting sqref="DI9:DO14">
    <cfRule type="expression" dxfId="7" priority="5">
      <formula>AND(task_start&lt;=DI$5,ROUNDDOWN((task_end-task_start+1)*task_progress,0)+task_start-1&gt;=DI$5)</formula>
    </cfRule>
    <cfRule type="expression" dxfId="6" priority="6" stopIfTrue="1">
      <formula>AND(task_end&gt;=DI$5,task_start&lt;DJ$5)</formula>
    </cfRule>
  </conditionalFormatting>
  <conditionalFormatting sqref="DI16:DO19">
    <cfRule type="expression" dxfId="5" priority="3">
      <formula>AND(task_start&lt;=DI$5,ROUNDDOWN((task_end-task_start+1)*task_progress,0)+task_start-1&gt;=DI$5)</formula>
    </cfRule>
    <cfRule type="expression" dxfId="4" priority="4" stopIfTrue="1">
      <formula>AND(task_end&gt;=DI$5,task_start&lt;DJ$5)</formula>
    </cfRule>
  </conditionalFormatting>
  <conditionalFormatting sqref="DI21:DO25">
    <cfRule type="expression" dxfId="3" priority="1">
      <formula>AND(task_start&lt;=DI$5,ROUNDDOWN((task_end-task_start+1)*task_progress,0)+task_start-1&gt;=DI$5)</formula>
    </cfRule>
    <cfRule type="expression" dxfId="2" priority="2" stopIfTrue="1">
      <formula>AND(task_end&gt;=DI$5,task_start&lt;DJ$5)</formula>
    </cfRule>
  </conditionalFormatting>
  <conditionalFormatting sqref="DI27:DO29">
    <cfRule type="expression" dxfId="1" priority="7">
      <formula>AND(task_start&lt;=DI$5,ROUNDDOWN((task_end-task_start+1)*task_progress,0)+task_start-1&gt;=DI$5)</formula>
    </cfRule>
    <cfRule type="expression" dxfId="0" priority="8" stopIfTrue="1">
      <formula>AND(task_end&gt;=DI$5,task_start&lt;DJ$5)</formula>
    </cfRule>
  </conditionalFormatting>
  <dataValidations count="13">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1"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election activeCell="A2" sqref="A2"/>
    </sheetView>
  </sheetViews>
  <sheetFormatPr defaultColWidth="9" defaultRowHeight="13.15"/>
  <cols>
    <col min="1" max="1" width="87" style="7" customWidth="1"/>
    <col min="2" max="16384" width="9" style="1"/>
  </cols>
  <sheetData>
    <row r="1" spans="1:2" ht="46.5" customHeight="1"/>
    <row r="2" spans="1:2" s="9" customFormat="1" ht="15.6">
      <c r="A2" s="53" t="s">
        <v>37</v>
      </c>
      <c r="B2" s="8"/>
    </row>
    <row r="3" spans="1:2" s="11" customFormat="1" ht="27" customHeight="1">
      <c r="A3" s="54"/>
      <c r="B3" s="12"/>
    </row>
    <row r="4" spans="1:2" s="10" customFormat="1" ht="30">
      <c r="A4" s="55" t="s">
        <v>38</v>
      </c>
    </row>
    <row r="5" spans="1:2" ht="74.25" customHeight="1">
      <c r="A5" s="56" t="s">
        <v>39</v>
      </c>
    </row>
    <row r="6" spans="1:2" ht="26.25" customHeight="1">
      <c r="A6" s="55" t="s">
        <v>40</v>
      </c>
    </row>
    <row r="7" spans="1:2" s="7" customFormat="1" ht="205.15" customHeight="1">
      <c r="A7" s="57" t="s">
        <v>41</v>
      </c>
    </row>
    <row r="8" spans="1:2" s="10" customFormat="1" ht="30">
      <c r="A8" s="55" t="s">
        <v>42</v>
      </c>
    </row>
    <row r="9" spans="1:2" ht="41.45">
      <c r="A9" s="56" t="s">
        <v>43</v>
      </c>
    </row>
    <row r="10" spans="1:2" s="7" customFormat="1" ht="28.15" customHeight="1">
      <c r="A10" s="58" t="s">
        <v>44</v>
      </c>
    </row>
    <row r="11" spans="1:2" s="10" customFormat="1" ht="30">
      <c r="A11" s="55" t="s">
        <v>45</v>
      </c>
    </row>
    <row r="12" spans="1:2" ht="27.6">
      <c r="A12" s="56" t="s">
        <v>46</v>
      </c>
    </row>
    <row r="13" spans="1:2" s="7" customFormat="1" ht="28.15" customHeight="1">
      <c r="A13" s="58" t="s">
        <v>47</v>
      </c>
    </row>
    <row r="14" spans="1:2" s="10" customFormat="1" ht="30">
      <c r="A14" s="55" t="s">
        <v>48</v>
      </c>
    </row>
    <row r="15" spans="1:2" ht="75" customHeight="1">
      <c r="A15" s="56" t="s">
        <v>49</v>
      </c>
    </row>
    <row r="16" spans="1:2" ht="69">
      <c r="A16" s="56" t="s">
        <v>50</v>
      </c>
    </row>
    <row r="17" spans="1:1">
      <c r="A17" s="59"/>
    </row>
    <row r="18" spans="1:1">
      <c r="A18" s="59"/>
    </row>
    <row r="19" spans="1:1">
      <c r="A19" s="59"/>
    </row>
    <row r="20" spans="1:1">
      <c r="A20" s="59"/>
    </row>
    <row r="21" spans="1:1">
      <c r="A21" s="59"/>
    </row>
    <row r="22" spans="1:1">
      <c r="A22" s="59"/>
    </row>
    <row r="23" spans="1:1">
      <c r="A23" s="59"/>
    </row>
    <row r="24" spans="1:1">
      <c r="A24" s="5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348D59-3426-404A-A0C5-6456F6613EDB}"/>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2026-02-17T15:15:54Z</dcterms:created>
  <dcterms:modified xsi:type="dcterms:W3CDTF">2026-06-04T15:34:21Z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